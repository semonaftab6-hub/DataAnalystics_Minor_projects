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127" documentId="11_E60897F41BE170836B02CE998F75CCDC64E183C8" xr6:coauthVersionLast="47" xr6:coauthVersionMax="47" xr10:uidLastSave="{B91E0C3C-24ED-42B0-AFAA-B5D58C15D863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2" i="2"/>
  <c r="F3" i="2"/>
  <c r="F4" i="2"/>
  <c r="F5" i="2"/>
  <c r="F6" i="2"/>
  <c r="F2" i="2"/>
  <c r="E2" i="2"/>
  <c r="E5" i="2"/>
  <c r="E6" i="2"/>
  <c r="E4" i="2"/>
  <c r="E3" i="2"/>
  <c r="E16" i="1"/>
  <c r="E11" i="1"/>
  <c r="D3" i="1"/>
  <c r="G3" i="1" s="1"/>
  <c r="D4" i="1"/>
  <c r="G4" i="1" s="1"/>
  <c r="D5" i="1"/>
  <c r="G5" i="1" s="1"/>
  <c r="D6" i="1"/>
  <c r="G6" i="1" s="1"/>
  <c r="D7" i="1"/>
  <c r="G7" i="1" s="1"/>
  <c r="D8" i="1"/>
  <c r="G8" i="1" s="1"/>
  <c r="D9" i="1"/>
  <c r="G9" i="1" s="1"/>
  <c r="D10" i="1"/>
  <c r="G10" i="1" s="1"/>
  <c r="D2" i="1"/>
  <c r="E17" i="1" s="1"/>
  <c r="E14" i="1" l="1"/>
  <c r="G2" i="1"/>
  <c r="E15" i="1" s="1"/>
  <c r="D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<sst xmlns="http://schemas.openxmlformats.org/spreadsheetml/2006/main" count="55" uniqueCount="39">
  <si>
    <t xml:space="preserve">  Name</t>
  </si>
  <si>
    <t>Tech</t>
  </si>
  <si>
    <t>Course</t>
  </si>
  <si>
    <t>Marks</t>
  </si>
  <si>
    <t>Total Marks</t>
  </si>
  <si>
    <t>Percentage</t>
  </si>
  <si>
    <t>Result</t>
  </si>
  <si>
    <t>Semon</t>
  </si>
  <si>
    <t>Python</t>
  </si>
  <si>
    <t>MCA AI</t>
  </si>
  <si>
    <t>Aish</t>
  </si>
  <si>
    <t>C</t>
  </si>
  <si>
    <t>Ali</t>
  </si>
  <si>
    <t>C Sharp</t>
  </si>
  <si>
    <t>Arham</t>
  </si>
  <si>
    <t>Java</t>
  </si>
  <si>
    <t>Koyal</t>
  </si>
  <si>
    <t>DA</t>
  </si>
  <si>
    <t>Amit</t>
  </si>
  <si>
    <t>Shruti</t>
  </si>
  <si>
    <t xml:space="preserve">C </t>
  </si>
  <si>
    <t>Pragya</t>
  </si>
  <si>
    <t>Parul</t>
  </si>
  <si>
    <t>sumif()</t>
  </si>
  <si>
    <t>countif</t>
  </si>
  <si>
    <t>Category</t>
  </si>
  <si>
    <t>Products</t>
  </si>
  <si>
    <t>MarkedPrice</t>
  </si>
  <si>
    <t>Discount_percentage</t>
  </si>
  <si>
    <t>dicount_value</t>
  </si>
  <si>
    <t>new price</t>
  </si>
  <si>
    <t>NewColumn</t>
  </si>
  <si>
    <t>clothing</t>
  </si>
  <si>
    <t>tshirt</t>
  </si>
  <si>
    <t>jeans</t>
  </si>
  <si>
    <t>electronics</t>
  </si>
  <si>
    <t>headphones</t>
  </si>
  <si>
    <t>jacket</t>
  </si>
  <si>
    <t>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</si>
</sst>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A828F-1D1C-4A27-B349-6C42727B98E6}" name="Table1" displayName="Table1" ref="A1:G11" totalsRowCount="1">
  <autoFilter ref="A1:G10" xr:uid="{FCCA828F-1D1C-4A27-B349-6C42727B98E6}"/>
  <tableColumns count="7">
    <tableColumn id="1" xr3:uid="{EDEE79E8-F3A8-4660-B270-8EE82C756367}" name="  Name"/>
    <tableColumn id="2" xr3:uid="{6D49FFE7-3C8F-491A-9FDA-65D0CD16E939}" name="Tech"/>
    <tableColumn id="3" xr3:uid="{993D48CB-3E9D-4333-B1C5-5F17C30482D1}" name="Course"/>
    <tableColumn id="4" xr3:uid="{979CE417-CAD4-4BE3-BA61-24E753449AEC}" name="Marks" totalsRowFunction="custom">
      <calculatedColumnFormula>RANDBETWEEN(1,90)</calculatedColumnFormula>
      <totalsRowFormula>SUM(Table1[Marks])</totalsRowFormula>
    </tableColumn>
    <tableColumn id="5" xr3:uid="{618BA574-F349-49D2-B1D0-D1823F56EE78}" name="Total Marks" totalsRowFunction="custom">
      <totalsRowFormula>SUM(Table1[Total Marks])</totalsRowFormula>
    </tableColumn>
    <tableColumn id="6" xr3:uid="{308A98A7-8F41-4985-BA9C-E9BF9395D316}" name="Percentage">
      <calculatedColumnFormula>D2/E2*100</calculatedColumnFormula>
    </tableColumn>
    <tableColumn id="7" xr3:uid="{1C12C74D-A4DD-44FD-B74C-5DB88344ED04}" name="Result">
      <calculatedColumnFormula>IF(D2&gt;33,"Pass","Fail")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B9F457-4869-43EF-A279-7B59587C4773}" name="Table2" displayName="Table2" ref="A1:G6" totalsRowShown="0">
  <autoFilter ref="A1:G6" xr:uid="{EEB9F457-4869-43EF-A279-7B59587C4773}"/>
  <tableColumns count="7">
    <tableColumn id="1" xr3:uid="{8D7EBE0C-3FE3-4EB7-927C-E933BA44CC8A}" name="Category"/>
    <tableColumn id="2" xr3:uid="{9C08C0A2-C722-4822-BC38-DA5807E5EF6F}" name="Products"/>
    <tableColumn id="3" xr3:uid="{B7D7874E-BA3F-4D27-A87E-1AF40681ADF0}" name="MarkedPrice"/>
    <tableColumn id="4" xr3:uid="{1DEA15DC-B0FD-4958-B732-07A1E05E825A}" name="Discount_percentage" dataDxfId="0"/>
    <tableColumn id="5" xr3:uid="{E64E4E91-424E-4B8F-AD3F-8ADB4AF0D4BD}" name="dicount_value"/>
    <tableColumn id="6" xr3:uid="{BB98B0F8-0E3D-4AEC-9318-A946781A4FE8}" name="new price">
      <calculatedColumnFormula>C2-E2</calculatedColumnFormula>
    </tableColumn>
    <tableColumn id="7" xr3:uid="{2C0B3502-9E1A-4DB6-BA97-C007BB1B0973}" name="NewColumn">
      <calculatedColumnFormula>IF(F2&lt;C2,"Discounted","OverPrised")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activeCell="G15" sqref="G15"/>
    </sheetView>
  </sheetViews>
  <sheetFormatPr defaultRowHeight="15"/>
  <cols>
    <col min="1" max="1" width="9.7109375" bestFit="1" customWidth="1"/>
    <col min="3" max="3" width="9.5703125" bestFit="1" customWidth="1"/>
    <col min="5" max="5" width="14" bestFit="1" customWidth="1"/>
    <col min="6" max="6" width="13.42578125" bestFit="1" customWidth="1"/>
    <col min="7" max="7" width="12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f ca="1">RANDBETWEEN(1,90)</f>
        <v>11</v>
      </c>
      <c r="E2">
        <v>100</v>
      </c>
      <c r="F2">
        <f ca="1">D2/E2*100</f>
        <v>11</v>
      </c>
      <c r="G2" t="str">
        <f ca="1">IF(D2&gt;33,"Pass","Fail")</f>
        <v>Fail</v>
      </c>
    </row>
    <row r="3" spans="1:7">
      <c r="A3" t="s">
        <v>10</v>
      </c>
      <c r="B3" t="s">
        <v>11</v>
      </c>
      <c r="C3" t="s">
        <v>9</v>
      </c>
      <c r="D3">
        <f t="shared" ref="D3:D10" ca="1" si="0">RANDBETWEEN(1,90)</f>
        <v>7</v>
      </c>
      <c r="E3">
        <v>100</v>
      </c>
      <c r="F3">
        <f t="shared" ref="F3:F10" ca="1" si="1">D3/E3*100</f>
        <v>7.0000000000000009</v>
      </c>
      <c r="G3" t="str">
        <f t="shared" ref="G3:G10" ca="1" si="2">IF(D3&gt;33,"Pass","Fail")</f>
        <v>Fail</v>
      </c>
    </row>
    <row r="4" spans="1:7">
      <c r="A4" t="s">
        <v>12</v>
      </c>
      <c r="B4" t="s">
        <v>13</v>
      </c>
      <c r="C4" t="s">
        <v>9</v>
      </c>
      <c r="D4">
        <f t="shared" ca="1" si="0"/>
        <v>12</v>
      </c>
      <c r="E4">
        <v>100</v>
      </c>
      <c r="F4">
        <f t="shared" ca="1" si="1"/>
        <v>12</v>
      </c>
      <c r="G4" t="str">
        <f t="shared" ca="1" si="2"/>
        <v>Fail</v>
      </c>
    </row>
    <row r="5" spans="1:7">
      <c r="A5" t="s">
        <v>14</v>
      </c>
      <c r="B5" t="s">
        <v>15</v>
      </c>
      <c r="C5" t="s">
        <v>9</v>
      </c>
      <c r="D5">
        <f t="shared" ca="1" si="0"/>
        <v>82</v>
      </c>
      <c r="E5">
        <v>100</v>
      </c>
      <c r="F5">
        <f t="shared" ca="1" si="1"/>
        <v>82</v>
      </c>
      <c r="G5" t="str">
        <f t="shared" ca="1" si="2"/>
        <v>Pass</v>
      </c>
    </row>
    <row r="6" spans="1:7">
      <c r="A6" t="s">
        <v>16</v>
      </c>
      <c r="B6" t="s">
        <v>17</v>
      </c>
      <c r="C6" t="s">
        <v>9</v>
      </c>
      <c r="D6">
        <f t="shared" ca="1" si="0"/>
        <v>32</v>
      </c>
      <c r="E6">
        <v>100</v>
      </c>
      <c r="F6">
        <f t="shared" ca="1" si="1"/>
        <v>32</v>
      </c>
      <c r="G6" t="str">
        <f t="shared" ca="1" si="2"/>
        <v>Fail</v>
      </c>
    </row>
    <row r="7" spans="1:7">
      <c r="A7" t="s">
        <v>18</v>
      </c>
      <c r="B7" t="s">
        <v>8</v>
      </c>
      <c r="C7" t="s">
        <v>9</v>
      </c>
      <c r="D7">
        <f t="shared" ca="1" si="0"/>
        <v>49</v>
      </c>
      <c r="E7">
        <v>100</v>
      </c>
      <c r="F7">
        <f t="shared" ca="1" si="1"/>
        <v>49</v>
      </c>
      <c r="G7" t="str">
        <f t="shared" ca="1" si="2"/>
        <v>Pass</v>
      </c>
    </row>
    <row r="8" spans="1:7">
      <c r="A8" t="s">
        <v>19</v>
      </c>
      <c r="B8" t="s">
        <v>20</v>
      </c>
      <c r="C8" t="s">
        <v>9</v>
      </c>
      <c r="D8">
        <f t="shared" ca="1" si="0"/>
        <v>24</v>
      </c>
      <c r="E8">
        <v>100</v>
      </c>
      <c r="F8">
        <f t="shared" ca="1" si="1"/>
        <v>24</v>
      </c>
      <c r="G8" t="str">
        <f t="shared" ca="1" si="2"/>
        <v>Fail</v>
      </c>
    </row>
    <row r="9" spans="1:7">
      <c r="A9" t="s">
        <v>21</v>
      </c>
      <c r="B9" t="s">
        <v>20</v>
      </c>
      <c r="C9" t="s">
        <v>9</v>
      </c>
      <c r="D9">
        <f t="shared" ca="1" si="0"/>
        <v>70</v>
      </c>
      <c r="E9">
        <v>100</v>
      </c>
      <c r="F9">
        <f t="shared" ca="1" si="1"/>
        <v>70</v>
      </c>
      <c r="G9" t="str">
        <f t="shared" ca="1" si="2"/>
        <v>Pass</v>
      </c>
    </row>
    <row r="10" spans="1:7">
      <c r="A10" t="s">
        <v>22</v>
      </c>
      <c r="B10" t="s">
        <v>15</v>
      </c>
      <c r="C10" t="s">
        <v>9</v>
      </c>
      <c r="D10">
        <f t="shared" ca="1" si="0"/>
        <v>51</v>
      </c>
      <c r="E10">
        <v>100</v>
      </c>
      <c r="F10">
        <f t="shared" ca="1" si="1"/>
        <v>51</v>
      </c>
      <c r="G10" t="str">
        <f t="shared" ca="1" si="2"/>
        <v>Pass</v>
      </c>
    </row>
    <row r="11" spans="1:7">
      <c r="D11">
        <f ca="1">SUM(Table1[Marks])</f>
        <v>338</v>
      </c>
      <c r="E11">
        <f>SUM(Table1[Total Marks])</f>
        <v>900</v>
      </c>
    </row>
    <row r="14" spans="1:7">
      <c r="D14" t="s">
        <v>23</v>
      </c>
      <c r="E14">
        <f ca="1">SUMIF(Table1[Tech],"Python",Table1[Marks])</f>
        <v>60</v>
      </c>
    </row>
    <row r="15" spans="1:7">
      <c r="D15" t="s">
        <v>24</v>
      </c>
      <c r="E15">
        <f ca="1">COUNTIF(Table1[Result],"Pass")</f>
        <v>4</v>
      </c>
    </row>
    <row r="16" spans="1:7">
      <c r="D16" t="s">
        <v>24</v>
      </c>
      <c r="E16">
        <f>COUNTIF(Table1[Tech],"Python")</f>
        <v>2</v>
      </c>
    </row>
    <row r="17" spans="4:5">
      <c r="D17" t="s">
        <v>24</v>
      </c>
      <c r="E17">
        <f ca="1">COUNTIF(Table1[Marks],"&gt;50")</f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C421-AFEC-4BF5-B6B7-2A4D8F5C3E6F}">
  <dimension ref="A1:G6"/>
  <sheetViews>
    <sheetView tabSelected="1" workbookViewId="0">
      <selection sqref="A1:G6"/>
    </sheetView>
  </sheetViews>
  <sheetFormatPr defaultRowHeight="15"/>
  <cols>
    <col min="1" max="1" width="11.42578125" bestFit="1" customWidth="1"/>
    <col min="2" max="2" width="11.85546875" bestFit="1" customWidth="1"/>
    <col min="3" max="3" width="14.7109375" bestFit="1" customWidth="1"/>
    <col min="4" max="4" width="22.5703125" bestFit="1" customWidth="1"/>
    <col min="5" max="5" width="20.7109375" customWidth="1"/>
    <col min="6" max="6" width="12.140625" bestFit="1" customWidth="1"/>
    <col min="7" max="7" width="14.42578125" bestFit="1" customWidth="1"/>
  </cols>
  <sheetData>
    <row r="1" spans="1:7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>
      <c r="A2" t="s">
        <v>32</v>
      </c>
      <c r="B2" t="s">
        <v>33</v>
      </c>
      <c r="C2">
        <v>3000</v>
      </c>
      <c r="D2" s="1">
        <v>0.2</v>
      </c>
      <c r="E2">
        <f>3000*20%</f>
        <v>600</v>
      </c>
      <c r="F2">
        <f>C2-E2</f>
        <v>2400</v>
      </c>
      <c r="G2" t="str">
        <f>IF(F2&lt;C2,"Discounted","OverPrised")</f>
        <v>Discounted</v>
      </c>
    </row>
    <row r="3" spans="1:7">
      <c r="A3" t="s">
        <v>32</v>
      </c>
      <c r="B3" t="s">
        <v>34</v>
      </c>
      <c r="C3">
        <v>1000</v>
      </c>
      <c r="D3" s="1">
        <v>0.05</v>
      </c>
      <c r="E3">
        <f>1000*5%</f>
        <v>50</v>
      </c>
      <c r="F3">
        <f t="shared" ref="F3:F6" si="0">C3-E3</f>
        <v>950</v>
      </c>
      <c r="G3" t="str">
        <f t="shared" ref="G3:G6" si="1">IF(F3&lt;C3,"Discounted","OverPrised")</f>
        <v>Discounted</v>
      </c>
    </row>
    <row r="4" spans="1:7">
      <c r="A4" t="s">
        <v>35</v>
      </c>
      <c r="B4" t="s">
        <v>36</v>
      </c>
      <c r="C4">
        <v>800</v>
      </c>
      <c r="D4" s="1">
        <v>0.21</v>
      </c>
      <c r="E4">
        <f>C4*D4</f>
        <v>168</v>
      </c>
      <c r="F4">
        <f t="shared" si="0"/>
        <v>632</v>
      </c>
      <c r="G4" t="str">
        <f t="shared" si="1"/>
        <v>Discounted</v>
      </c>
    </row>
    <row r="5" spans="1:7">
      <c r="A5" t="s">
        <v>32</v>
      </c>
      <c r="B5" t="s">
        <v>37</v>
      </c>
      <c r="C5">
        <v>400</v>
      </c>
      <c r="D5" s="1">
        <v>0.02</v>
      </c>
      <c r="E5">
        <f>C5*D5</f>
        <v>8</v>
      </c>
      <c r="F5">
        <f t="shared" si="0"/>
        <v>392</v>
      </c>
      <c r="G5" t="str">
        <f t="shared" si="1"/>
        <v>Discounted</v>
      </c>
    </row>
    <row r="6" spans="1:7">
      <c r="A6" t="s">
        <v>32</v>
      </c>
      <c r="B6" t="s">
        <v>38</v>
      </c>
      <c r="C6">
        <v>520</v>
      </c>
      <c r="D6" s="1">
        <v>0.01</v>
      </c>
      <c r="E6">
        <f t="shared" ref="E5:E6" si="2">C6*D6</f>
        <v>5.2</v>
      </c>
      <c r="F6">
        <f t="shared" si="0"/>
        <v>514.79999999999995</v>
      </c>
      <c r="G6" t="str">
        <f t="shared" si="1"/>
        <v>Discounted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aish aftab</cp:lastModifiedBy>
  <cp:revision/>
  <dcterms:created xsi:type="dcterms:W3CDTF">2026-09-21T09:46:36Z</dcterms:created>
  <dcterms:modified xsi:type="dcterms:W3CDTF">2026-09-21T16:08:15Z</dcterms:modified>
  <cp:category/>
  <cp:contentStatus/>
</cp:coreProperties>
</file>