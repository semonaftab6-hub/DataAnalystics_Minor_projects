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1\EXCELCNV\52523915-b13b-40cf-bbd0-bd3dfd5380e5\"/>
    </mc:Choice>
  </mc:AlternateContent>
  <xr:revisionPtr revIDLastSave="197" documentId="8_{B6EEBBAF-5729-496A-B1A5-6D85113744A9}" xr6:coauthVersionLast="47" xr6:coauthVersionMax="47" xr10:uidLastSave="{3AACD6F4-C0AE-4D44-8985-AD5114DD16A7}"/>
  <bookViews>
    <workbookView xWindow="-60" yWindow="-60" windowWidth="15480" windowHeight="11640" firstSheet="4" activeTab="4" xr2:uid="{C54B0CA0-B861-4BA9-B18D-1E933D867086}"/>
  </bookViews>
  <sheets>
    <sheet name="Sheet1" sheetId="2" r:id="rId1"/>
    <sheet name="Sheet2" sheetId="3" r:id="rId2"/>
    <sheet name="Sheet3" sheetId="4" r:id="rId3"/>
    <sheet name="Sheet4" sheetId="5" r:id="rId4"/>
    <sheet name="in" sheetId="1" r:id="rId5"/>
  </sheets>
  <definedNames>
    <definedName name="Slicer_region">#N/A</definedName>
  </definedNames>
  <calcPr calcId="191028"/>
  <pivotCaches>
    <pivotCache cacheId="23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<sst xmlns="http://schemas.openxmlformats.org/spreadsheetml/2006/main" count="118" uniqueCount="79">
  <si>
    <t>region</t>
  </si>
  <si>
    <t>Sum of alcintake2014</t>
  </si>
  <si>
    <t>Sum of alcintake2016</t>
  </si>
  <si>
    <t>east</t>
  </si>
  <si>
    <t>Grand Total</t>
  </si>
  <si>
    <t>Sum of overspeed2014</t>
  </si>
  <si>
    <t>Sum of lanejumping2014</t>
  </si>
  <si>
    <t>Sum of signalavoid2014</t>
  </si>
  <si>
    <t>Sum of wrongside2014</t>
  </si>
  <si>
    <t>Sum of overtaking2014</t>
  </si>
  <si>
    <t>Sum of asleep2014</t>
  </si>
  <si>
    <t>stateut</t>
  </si>
  <si>
    <t>Mizoram</t>
  </si>
  <si>
    <t>Tripura</t>
  </si>
  <si>
    <t>West Bengal</t>
  </si>
  <si>
    <t>Sum of signalavoid2016</t>
  </si>
  <si>
    <t>Sum of overspeed2016</t>
  </si>
  <si>
    <t>index</t>
  </si>
  <si>
    <t>sno</t>
  </si>
  <si>
    <t>regionid</t>
  </si>
  <si>
    <t>alcintake2014</t>
  </si>
  <si>
    <t>overspeed2014</t>
  </si>
  <si>
    <t>overtaking2014</t>
  </si>
  <si>
    <t>lanejumping2014</t>
  </si>
  <si>
    <t>wrongside2014</t>
  </si>
  <si>
    <t>signalavoid2014</t>
  </si>
  <si>
    <t>asleep2014</t>
  </si>
  <si>
    <t>othercause2014</t>
  </si>
  <si>
    <t>alcintake2016</t>
  </si>
  <si>
    <t>overspeed2016</t>
  </si>
  <si>
    <t>signalavoid2016</t>
  </si>
  <si>
    <t>wrongside2016</t>
  </si>
  <si>
    <t>lanejumping2016</t>
  </si>
  <si>
    <t>overtaking2016</t>
  </si>
  <si>
    <t>asleep2016</t>
  </si>
  <si>
    <t>othercause2016</t>
  </si>
  <si>
    <t>Traffic &amp; Driver Response Analysis Dashboard</t>
  </si>
  <si>
    <t>Andhra Pradesh</t>
  </si>
  <si>
    <t>south</t>
  </si>
  <si>
    <t>Arunachal Pradesh</t>
  </si>
  <si>
    <t>northeast</t>
  </si>
  <si>
    <t>Assam</t>
  </si>
  <si>
    <t>Bihar</t>
  </si>
  <si>
    <t>north</t>
  </si>
  <si>
    <t>Chhattisgarh</t>
  </si>
  <si>
    <t>centre</t>
  </si>
  <si>
    <t>Goa</t>
  </si>
  <si>
    <t>west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</si>
  <si>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</si>
  <si>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</si>
  <si>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</si>
  <si>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</si>
  <si>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</si>
  <si>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</si>
  <si>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</si>
  <si>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</si>
  <si>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</si>
  <si>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</si>
  <si>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</si>
  <si>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Nagaland</t>
  </si>
  <si>
    <t>Orissa</t>
  </si>
  <si>
    <t>Punjab</t>
  </si>
  <si>
    <t>Rajasthan</t>
  </si>
  <si>
    <t>northwest</t>
  </si>
  <si>
    <t>Sikkim</t>
  </si>
  <si>
    <t>Tamil Nadu</t>
  </si>
  <si>
    <t>Telangana</t>
  </si>
  <si>
    <t>Uttarakhand</t>
  </si>
  <si>
    <t>Uttar Pradesh</t>
  </si>
  <si>
    <t>A &amp; N Islands</t>
  </si>
  <si>
    <t>southeast</t>
  </si>
  <si>
    <t>Chandigarh</t>
  </si>
  <si>
    <t>D &amp; N Haveli</t>
  </si>
  <si>
    <t>Daman &amp; Diu</t>
  </si>
  <si>
    <t>Delhi</t>
  </si>
  <si>
    <t>Lakshadweep</t>
  </si>
  <si>
    <t>southwest</t>
  </si>
  <si>
    <t>Puducherry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</si>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</sst>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9ABC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34" borderId="0" xfId="0" applyFill="1" applyAlignment="1"/>
    <xf numFmtId="0" fontId="19" fillId="34" borderId="0" xfId="42" applyFill="1" applyAlignment="1"/>
    <xf numFmtId="0" fontId="0" fillId="34" borderId="0" xfId="0" applyFill="1" applyAlignment="1">
      <alignment horizontal="center"/>
    </xf>
    <xf numFmtId="0" fontId="0" fillId="35" borderId="0" xfId="0" applyFill="1" applyAlignment="1"/>
    <xf numFmtId="0" fontId="0" fillId="35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9AB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alcintake2014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8D-43F3-BA76-D6E676BE622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alcintake2016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Sheet1!$C$4:$C$5</c:f>
              <c:numCache>
                <c:formatCode>General</c:formatCode>
                <c:ptCount val="1"/>
                <c:pt idx="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8D-43F3-BA76-D6E676BE6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860424"/>
        <c:axId val="1948862472"/>
      </c:barChart>
      <c:catAx>
        <c:axId val="19488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62472"/>
        <c:crosses val="autoZero"/>
        <c:auto val="1"/>
        <c:lblAlgn val="ctr"/>
        <c:lblOffset val="100"/>
        <c:noMultiLvlLbl val="0"/>
      </c:catAx>
      <c:valAx>
        <c:axId val="194886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Causes Comparison (2014)</a:t>
            </a:r>
          </a:p>
        </c:rich>
      </c:tx>
      <c:overlay val="0"/>
      <c:spPr>
        <a:solidFill>
          <a:srgbClr val="E2EF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overspeed2014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E-4491-BEC1-9A4781689C0F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lanejumping2014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E-4491-BEC1-9A4781689C0F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signalavoid2014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E-4491-BEC1-9A4781689C0F}"/>
            </c:ext>
          </c:extLst>
        </c:ser>
        <c:ser>
          <c:idx val="3"/>
          <c:order val="3"/>
          <c:tx>
            <c:strRef>
              <c:f>Sheet2!$D$3</c:f>
              <c:strCache>
                <c:ptCount val="1"/>
                <c:pt idx="0">
                  <c:v>Sum of wrongside2014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Sheet2!$D$4</c:f>
              <c:numCache>
                <c:formatCode>General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EE-4491-BEC1-9A4781689C0F}"/>
            </c:ext>
          </c:extLst>
        </c:ser>
        <c:ser>
          <c:idx val="4"/>
          <c:order val="4"/>
          <c:tx>
            <c:strRef>
              <c:f>Sheet2!$E$3</c:f>
              <c:strCache>
                <c:ptCount val="1"/>
                <c:pt idx="0">
                  <c:v>Sum of overtaking2014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Sheet2!$E$4</c:f>
              <c:numCache>
                <c:formatCode>General</c:formatCode>
                <c:ptCount val="1"/>
                <c:pt idx="0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EE-4491-BEC1-9A4781689C0F}"/>
            </c:ext>
          </c:extLst>
        </c:ser>
        <c:ser>
          <c:idx val="5"/>
          <c:order val="5"/>
          <c:tx>
            <c:strRef>
              <c:f>Sheet2!$F$3</c:f>
              <c:strCache>
                <c:ptCount val="1"/>
                <c:pt idx="0">
                  <c:v>Sum of asleep2014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Sheet2!$F$4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EE-4491-BEC1-9A4781689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062984"/>
        <c:axId val="1944065032"/>
      </c:barChart>
      <c:catAx>
        <c:axId val="194406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65032"/>
        <c:crosses val="autoZero"/>
        <c:auto val="1"/>
        <c:lblAlgn val="ctr"/>
        <c:lblOffset val="100"/>
        <c:noMultiLvlLbl val="0"/>
      </c:catAx>
      <c:valAx>
        <c:axId val="194406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6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Overspeeding (2014)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Mizoram</c:v>
                </c:pt>
                <c:pt idx="1">
                  <c:v>Tripura</c:v>
                </c:pt>
                <c:pt idx="2">
                  <c:v>West Bengal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48</c:v>
                </c:pt>
                <c:pt idx="1">
                  <c:v>499</c:v>
                </c:pt>
                <c:pt idx="2">
                  <c:v>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F-464D-9F6D-CC191BF7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332552"/>
        <c:axId val="1964334600"/>
      </c:barChart>
      <c:catAx>
        <c:axId val="196433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34600"/>
        <c:crosses val="autoZero"/>
        <c:auto val="1"/>
        <c:lblAlgn val="ctr"/>
        <c:lblOffset val="100"/>
        <c:noMultiLvlLbl val="0"/>
      </c:catAx>
      <c:valAx>
        <c:axId val="196433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Regional Breakdown by Incident Type</a:t>
            </a:r>
          </a:p>
        </c:rich>
      </c:tx>
      <c:overlay val="0"/>
      <c:spPr>
        <a:solidFill>
          <a:srgbClr val="E2EF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signalavoid2016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D-4F97-8438-372592FB64B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overspeed2016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Sheet4!$C$4:$C$5</c:f>
              <c:numCache>
                <c:formatCode>General</c:formatCode>
                <c:ptCount val="1"/>
                <c:pt idx="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3D-4F97-8438-372592FB64B9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alcintake2016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Sheet4!$D$4:$D$5</c:f>
              <c:numCache>
                <c:formatCode>General</c:formatCode>
                <c:ptCount val="1"/>
                <c:pt idx="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3D-4F97-8438-372592FB6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8690056"/>
        <c:axId val="1222537736"/>
      </c:barChart>
      <c:catAx>
        <c:axId val="101869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37736"/>
        <c:crosses val="autoZero"/>
        <c:auto val="1"/>
        <c:lblAlgn val="ctr"/>
        <c:lblOffset val="100"/>
        <c:noMultiLvlLbl val="0"/>
      </c:catAx>
      <c:valAx>
        <c:axId val="122253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(Alcohol-Related Incidents: 2014 vs 2016 by Region)</a:t>
            </a:r>
          </a:p>
        </c:rich>
      </c:tx>
      <c:overlay val="0"/>
      <c:spPr>
        <a:solidFill>
          <a:srgbClr val="E2EF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alcintake2014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601-8831-C42FFDC4BF38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alcintake2016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Sheet1!$C$4:$C$5</c:f>
              <c:numCache>
                <c:formatCode>General</c:formatCode>
                <c:ptCount val="1"/>
                <c:pt idx="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5-4601-8831-C42FFDC4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860424"/>
        <c:axId val="1948862472"/>
      </c:barChart>
      <c:catAx>
        <c:axId val="19488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62472"/>
        <c:crosses val="autoZero"/>
        <c:auto val="1"/>
        <c:lblAlgn val="ctr"/>
        <c:lblOffset val="100"/>
        <c:noMultiLvlLbl val="0"/>
      </c:catAx>
      <c:valAx>
        <c:axId val="194886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Causes Comparison (2014)</a:t>
            </a:r>
          </a:p>
        </c:rich>
      </c:tx>
      <c:overlay val="0"/>
      <c:spPr>
        <a:solidFill>
          <a:srgbClr val="E2EF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overspeed2014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2-4FBF-9684-F13784FD2735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lanejumping2014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2-4FBF-9684-F13784FD2735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signalavoid2014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2-4FBF-9684-F13784FD2735}"/>
            </c:ext>
          </c:extLst>
        </c:ser>
        <c:ser>
          <c:idx val="3"/>
          <c:order val="3"/>
          <c:tx>
            <c:strRef>
              <c:f>Sheet2!$D$3</c:f>
              <c:strCache>
                <c:ptCount val="1"/>
                <c:pt idx="0">
                  <c:v>Sum of wrongside2014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Sheet2!$D$4</c:f>
              <c:numCache>
                <c:formatCode>General</c:formatCode>
                <c:ptCount val="1"/>
                <c:pt idx="0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2-4FBF-9684-F13784FD2735}"/>
            </c:ext>
          </c:extLst>
        </c:ser>
        <c:ser>
          <c:idx val="4"/>
          <c:order val="4"/>
          <c:tx>
            <c:strRef>
              <c:f>Sheet2!$E$3</c:f>
              <c:strCache>
                <c:ptCount val="1"/>
                <c:pt idx="0">
                  <c:v>Sum of overtaking2014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Sheet2!$E$4</c:f>
              <c:numCache>
                <c:formatCode>General</c:formatCode>
                <c:ptCount val="1"/>
                <c:pt idx="0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E2-4FBF-9684-F13784FD2735}"/>
            </c:ext>
          </c:extLst>
        </c:ser>
        <c:ser>
          <c:idx val="5"/>
          <c:order val="5"/>
          <c:tx>
            <c:strRef>
              <c:f>Sheet2!$F$3</c:f>
              <c:strCache>
                <c:ptCount val="1"/>
                <c:pt idx="0">
                  <c:v>Sum of asleep2014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Sheet2!$F$4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E2-4FBF-9684-F13784FD2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062984"/>
        <c:axId val="1944065032"/>
      </c:barChart>
      <c:catAx>
        <c:axId val="194406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65032"/>
        <c:crosses val="autoZero"/>
        <c:auto val="1"/>
        <c:lblAlgn val="ctr"/>
        <c:lblOffset val="100"/>
        <c:noMultiLvlLbl val="0"/>
      </c:catAx>
      <c:valAx>
        <c:axId val="194406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6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Overspeeding (2014)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Mizoram</c:v>
                </c:pt>
                <c:pt idx="1">
                  <c:v>Tripura</c:v>
                </c:pt>
                <c:pt idx="2">
                  <c:v>West Bengal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48</c:v>
                </c:pt>
                <c:pt idx="1">
                  <c:v>499</c:v>
                </c:pt>
                <c:pt idx="2">
                  <c:v>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B-4370-98FD-5AE710558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332552"/>
        <c:axId val="1964334600"/>
      </c:barChart>
      <c:catAx>
        <c:axId val="196433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34600"/>
        <c:crosses val="autoZero"/>
        <c:auto val="1"/>
        <c:lblAlgn val="ctr"/>
        <c:lblOffset val="100"/>
        <c:noMultiLvlLbl val="0"/>
      </c:catAx>
      <c:valAx>
        <c:axId val="196433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[driverresponse.xlsx]Sheet4!PivotTable1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Regional Breakdown by Incident Type</a:t>
            </a:r>
          </a:p>
        </c:rich>
      </c:tx>
      <c:overlay val="0"/>
      <c:spPr>
        <a:solidFill>
          <a:srgbClr val="E2EF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signalavoid2016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9-4A97-A67C-7374CD1E7C1C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overspeed2016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Sheet4!$C$4:$C$5</c:f>
              <c:numCache>
                <c:formatCode>General</c:formatCode>
                <c:ptCount val="1"/>
                <c:pt idx="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9-4A97-A67C-7374CD1E7C1C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alcintake2016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Sheet4!$D$4:$D$5</c:f>
              <c:numCache>
                <c:formatCode>General</c:formatCode>
                <c:ptCount val="1"/>
                <c:pt idx="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9-4A97-A67C-7374CD1E7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8690056"/>
        <c:axId val="1222537736"/>
      </c:barChart>
      <c:catAx>
        <c:axId val="101869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37736"/>
        <c:crosses val="autoZero"/>
        <c:auto val="1"/>
        <c:lblAlgn val="ctr"/>
        <c:lblOffset val="100"/>
        <c:noMultiLvlLbl val="0"/>
      </c:catAx>
      <c:valAx>
        <c:axId val="122253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14</xdr:row>
      <xdr:rowOff>171450</xdr:rowOff>
    </xdr:from>
    <xdr:to>
      <xdr:col>5</xdr:col>
      <xdr:colOff>190500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3F412-5766-5465-0861-A1088DCDD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4</xdr:row>
      <xdr:rowOff>123825</xdr:rowOff>
    </xdr:from>
    <xdr:to>
      <xdr:col>3</xdr:col>
      <xdr:colOff>923925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439FD-7654-686C-F74A-E20BB4D4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4</xdr:row>
      <xdr:rowOff>123825</xdr:rowOff>
    </xdr:from>
    <xdr:to>
      <xdr:col>6</xdr:col>
      <xdr:colOff>323850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54B1-570B-BF94-E715-4BE7ECA19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47625</xdr:rowOff>
    </xdr:from>
    <xdr:to>
      <xdr:col>3</xdr:col>
      <xdr:colOff>809625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760B4-8004-9EB3-4769-939FC7CC8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323850</xdr:colOff>
      <xdr:row>52</xdr:row>
      <xdr:rowOff>76200</xdr:rowOff>
    </xdr:from>
    <xdr:to>
      <xdr:col>3</xdr:col>
      <xdr:colOff>685800</xdr:colOff>
      <xdr:row>66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8DD89CF5-55D2-D3F5-246A-00827A7488D0}"/>
                </a:ext>
                <a:ext uri="{147F2762-F138-4A5C-976F-8EAC2B608ADB}">
                  <a16:predDERef xmlns:a16="http://schemas.microsoft.com/office/drawing/2014/main" pred="{E3C760B4-8004-9EB3-4769-939FC7CC8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375" y="9982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114300</xdr:colOff>
      <xdr:row>4</xdr:row>
      <xdr:rowOff>57150</xdr:rowOff>
    </xdr:from>
    <xdr:to>
      <xdr:col>13</xdr:col>
      <xdr:colOff>114300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1" descr="his slicer is used to filter the charts present in the  dashbord by region" title="Region ">
              <a:extLst>
                <a:ext uri="{FF2B5EF4-FFF2-40B4-BE49-F238E27FC236}">
                  <a16:creationId xmlns:a16="http://schemas.microsoft.com/office/drawing/2014/main" id="{2E3D83EF-340A-9AFC-402E-516F861CB221}"/>
                </a:ext>
                <a:ext uri="{147F2762-F138-4A5C-976F-8EAC2B608ADB}">
                  <a16:predDERef xmlns:a16="http://schemas.microsoft.com/office/drawing/2014/main" pred="{8DD89CF5-55D2-D3F5-246A-00827A7488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8350" y="7067550"/>
              <a:ext cx="1828800" cy="254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123825</xdr:colOff>
      <xdr:row>3</xdr:row>
      <xdr:rowOff>76200</xdr:rowOff>
    </xdr:from>
    <xdr:to>
      <xdr:col>61</xdr:col>
      <xdr:colOff>542925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63D02-4D9E-4DBD-8FA8-6D6D45C2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57150</xdr:colOff>
      <xdr:row>3</xdr:row>
      <xdr:rowOff>76200</xdr:rowOff>
    </xdr:from>
    <xdr:to>
      <xdr:col>67</xdr:col>
      <xdr:colOff>514350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4AD392-CECC-43A0-A655-F594F9EA373E}"/>
            </a:ext>
            <a:ext uri="{147F2762-F138-4A5C-976F-8EAC2B608ADB}">
              <a16:predDERef xmlns:a16="http://schemas.microsoft.com/office/drawing/2014/main" pred="{05363D02-4D9E-4DBD-8FA8-6D6D45C2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133350</xdr:colOff>
      <xdr:row>17</xdr:row>
      <xdr:rowOff>95250</xdr:rowOff>
    </xdr:from>
    <xdr:to>
      <xdr:col>61</xdr:col>
      <xdr:colOff>542925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E8A29F-79CE-460D-B0FD-15021B818922}"/>
            </a:ext>
            <a:ext uri="{147F2762-F138-4A5C-976F-8EAC2B608ADB}">
              <a16:predDERef xmlns:a16="http://schemas.microsoft.com/office/drawing/2014/main" pred="{D54AD392-CECC-43A0-A655-F594F9EA3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28575</xdr:colOff>
      <xdr:row>17</xdr:row>
      <xdr:rowOff>85725</xdr:rowOff>
    </xdr:from>
    <xdr:to>
      <xdr:col>67</xdr:col>
      <xdr:colOff>504825</xdr:colOff>
      <xdr:row>31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6CA891-5798-4332-852B-4C93E004D031}"/>
            </a:ext>
            <a:ext uri="{147F2762-F138-4A5C-976F-8EAC2B608ADB}">
              <a16:predDERef xmlns:a16="http://schemas.microsoft.com/office/drawing/2014/main" pred="{48E8A29F-79CE-460D-B0FD-15021B818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949042824075" createdVersion="8" refreshedVersion="8" minRefreshableVersion="3" recordCount="36" xr:uid="{2B789B3E-33D6-4A46-A169-42033789E2AB}">
  <cacheSource type="worksheet">
    <worksheetSource name="Table1"/>
  </cacheSource>
  <cacheFields count="21">
    <cacheField name="index" numFmtId="0">
      <sharedItems containsSemiMixedTypes="0" containsString="0" containsNumber="1" containsInteger="1" minValue="0" maxValue="35"/>
    </cacheField>
    <cacheField name="sno" numFmtId="0">
      <sharedItems containsSemiMixedTypes="0" containsString="0" containsNumber="1" containsInteger="1" minValue="1" maxValue="36"/>
    </cacheField>
    <cacheField name="stateut" numFmtId="0">
      <sharedItems count="36">
        <s v="Andhra Pradesh"/>
        <s v="Arunachal Pradesh"/>
        <s v="Assam"/>
        <s v="Bihar"/>
        <s v="Chhattisgarh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anipur"/>
        <s v="Meghalaya"/>
        <s v="Mizoram"/>
        <s v="Nagaland"/>
        <s v="Orissa"/>
        <s v="Punjab"/>
        <s v="Rajasthan"/>
        <s v="Sikkim"/>
        <s v="Tamil Nadu"/>
        <s v="Telangana"/>
        <s v="Tripura"/>
        <s v="Uttarakhand"/>
        <s v="Uttar Pradesh"/>
        <s v="West Bengal"/>
        <s v="A &amp; N Islands"/>
        <s v="Chandigarh"/>
        <s v="D &amp; N Haveli"/>
        <s v="Daman &amp; Diu"/>
        <s v="Delhi"/>
        <s v="Lakshadweep"/>
        <s v="Puducherry"/>
      </sharedItems>
    </cacheField>
    <cacheField name="region" numFmtId="0">
      <sharedItems count="9">
        <s v="south"/>
        <s v="northeast"/>
        <s v="north"/>
        <s v="centre"/>
        <s v="west"/>
        <s v="east"/>
        <s v="northwest"/>
        <s v="southeast"/>
        <s v="southwest"/>
      </sharedItems>
    </cacheField>
    <cacheField name="regionid" numFmtId="0">
      <sharedItems containsSemiMixedTypes="0" containsString="0" containsNumber="1" containsInteger="1" minValue="1" maxValue="9"/>
    </cacheField>
    <cacheField name="alcintake2014" numFmtId="0">
      <sharedItems containsSemiMixedTypes="0" containsString="0" containsNumber="1" containsInteger="1" minValue="0" maxValue="3540" count="31">
        <n v="594"/>
        <n v="11"/>
        <n v="613"/>
        <n v="1680"/>
        <n v="335"/>
        <n v="9"/>
        <n v="42"/>
        <n v="1095"/>
        <n v="74"/>
        <n v="388"/>
        <n v="611"/>
        <n v="2207"/>
        <n v="35"/>
        <n v="3540"/>
        <n v="1251"/>
        <n v="0"/>
        <n v="25"/>
        <n v="16"/>
        <n v="91"/>
        <n v="637"/>
        <n v="442"/>
        <n v="915"/>
        <n v="8"/>
        <n v="1416"/>
        <n v="968"/>
        <n v="12"/>
        <n v="508"/>
        <n v="1232"/>
        <n v="1"/>
        <n v="51"/>
        <n v="73"/>
      </sharedItems>
    </cacheField>
    <cacheField name="overspeed2014" numFmtId="0">
      <sharedItems containsString="0" containsBlank="1" containsNumber="1" containsInteger="1" minValue="0" maxValue="29790"/>
    </cacheField>
    <cacheField name="overtaking2014" numFmtId="0">
      <sharedItems containsSemiMixedTypes="0" containsString="0" containsNumber="1" containsInteger="1" minValue="0" maxValue="2171" count="28">
        <n v="507"/>
        <n v="0"/>
        <n v="129"/>
        <n v="278"/>
        <n v="188"/>
        <n v="33"/>
        <n v="641"/>
        <n v="206"/>
        <n v="21"/>
        <n v="67"/>
        <n v="68"/>
        <n v="944"/>
        <n v="1217"/>
        <n v="1165"/>
        <n v="1687"/>
        <n v="24"/>
        <n v="336"/>
        <n v="60"/>
        <n v="102"/>
        <n v="2171"/>
        <n v="526"/>
        <n v="15"/>
        <n v="392"/>
        <n v="257"/>
        <n v="7"/>
        <n v="83"/>
        <n v="2"/>
        <n v="136"/>
      </sharedItems>
    </cacheField>
    <cacheField name="lanejumping2014" numFmtId="0">
      <sharedItems containsSemiMixedTypes="0" containsString="0" containsNumber="1" containsInteger="1" minValue="0" maxValue="1869"/>
    </cacheField>
    <cacheField name="wrongside2014" numFmtId="0">
      <sharedItems containsSemiMixedTypes="0" containsString="0" containsNumber="1" containsInteger="1" minValue="0" maxValue="1529"/>
    </cacheField>
    <cacheField name="signalavoid2014" numFmtId="0">
      <sharedItems containsSemiMixedTypes="0" containsString="0" containsNumber="1" containsInteger="1" minValue="0" maxValue="451"/>
    </cacheField>
    <cacheField name="asleep2014" numFmtId="0">
      <sharedItems containsSemiMixedTypes="0" containsString="0" containsNumber="1" containsInteger="1" minValue="0" maxValue="1393"/>
    </cacheField>
    <cacheField name="othercause2014" numFmtId="0">
      <sharedItems containsSemiMixedTypes="0" containsString="0" containsNumber="1" containsInteger="1" minValue="0" maxValue="6874"/>
    </cacheField>
    <cacheField name="alcintake2016" numFmtId="0">
      <sharedItems containsSemiMixedTypes="0" containsString="0" containsNumber="1" containsInteger="1" minValue="0" maxValue="4633"/>
    </cacheField>
    <cacheField name="overspeed2016" numFmtId="0">
      <sharedItems containsSemiMixedTypes="0" containsString="0" containsNumber="1" containsInteger="1" minValue="0" maxValue="47055"/>
    </cacheField>
    <cacheField name="signalavoid2016" numFmtId="0">
      <sharedItems containsSemiMixedTypes="0" containsString="0" containsNumber="1" containsInteger="1" minValue="0" maxValue="1004"/>
    </cacheField>
    <cacheField name="wrongside2016" numFmtId="0">
      <sharedItems containsSemiMixedTypes="0" containsString="0" containsNumber="1" containsInteger="1" minValue="0" maxValue="3209"/>
    </cacheField>
    <cacheField name="lanejumping2016" numFmtId="0">
      <sharedItems containsSemiMixedTypes="0" containsString="0" containsNumber="1" containsInteger="1" minValue="0" maxValue="2367"/>
    </cacheField>
    <cacheField name="overtaking2016" numFmtId="0">
      <sharedItems containsSemiMixedTypes="0" containsString="0" containsNumber="1" containsInteger="1" minValue="0" maxValue="7155" count="33">
        <n v="1024"/>
        <n v="8"/>
        <n v="371"/>
        <n v="573"/>
        <n v="467"/>
        <n v="80"/>
        <n v="1016"/>
        <n v="1134"/>
        <n v="195"/>
        <n v="18"/>
        <n v="155"/>
        <n v="1019"/>
        <n v="2175"/>
        <n v="4091"/>
        <n v="1883"/>
        <n v="46"/>
        <n v="0"/>
        <n v="6"/>
        <n v="1194"/>
        <n v="585"/>
        <n v="1345"/>
        <n v="17"/>
        <n v="7155"/>
        <n v="539"/>
        <n v="56"/>
        <n v="132"/>
        <n v="3937"/>
        <n v="122"/>
        <n v="15"/>
        <n v="5"/>
        <n v="2"/>
        <n v="211"/>
        <n v="71"/>
      </sharedItems>
    </cacheField>
    <cacheField name="asleep2016" numFmtId="0">
      <sharedItems containsSemiMixedTypes="0" containsString="0" containsNumber="1" containsInteger="1" minValue="0" maxValue="1121"/>
    </cacheField>
    <cacheField name="othercause2016" numFmtId="0">
      <sharedItems containsSemiMixedTypes="0" containsString="0" containsNumber="1" containsInteger="1" minValue="0" maxValue="6915"/>
    </cacheField>
  </cacheFields>
  <extLst>
    <ext xmlns:x14="http://schemas.microsoft.com/office/spreadsheetml/2009/9/main" uri="{725AE2AE-9491-48be-B2B4-4EB974FC3084}">
      <x14:pivotCacheDefinition pivotCacheId="20535945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0"/>
    <n v="1"/>
    <x v="0"/>
    <x v="0"/>
    <n v="2"/>
    <x v="0"/>
    <n v="12747"/>
    <x v="0"/>
    <n v="328"/>
    <n v="668"/>
    <n v="29"/>
    <n v="154"/>
    <n v="1938"/>
    <n v="128"/>
    <n v="17286"/>
    <n v="40"/>
    <n v="667"/>
    <n v="325"/>
    <x v="0"/>
    <n v="306"/>
    <n v="2868"/>
  </r>
  <r>
    <n v="1"/>
    <n v="2"/>
    <x v="1"/>
    <x v="1"/>
    <n v="5"/>
    <x v="1"/>
    <n v="16"/>
    <x v="1"/>
    <n v="0"/>
    <n v="0"/>
    <n v="0"/>
    <n v="0"/>
    <n v="22"/>
    <n v="15"/>
    <n v="45"/>
    <n v="0"/>
    <n v="7"/>
    <n v="11"/>
    <x v="1"/>
    <n v="8"/>
    <n v="18"/>
  </r>
  <r>
    <n v="2"/>
    <n v="3"/>
    <x v="2"/>
    <x v="1"/>
    <n v="5"/>
    <x v="2"/>
    <n v="4596"/>
    <x v="2"/>
    <n v="104"/>
    <n v="156"/>
    <n v="7"/>
    <n v="3"/>
    <n v="628"/>
    <n v="352"/>
    <n v="3520"/>
    <n v="64"/>
    <n v="334"/>
    <n v="156"/>
    <x v="2"/>
    <n v="3"/>
    <n v="873"/>
  </r>
  <r>
    <n v="3"/>
    <n v="4"/>
    <x v="3"/>
    <x v="2"/>
    <n v="1"/>
    <x v="3"/>
    <n v="1496"/>
    <x v="3"/>
    <n v="236"/>
    <n v="308"/>
    <n v="7"/>
    <n v="72"/>
    <n v="439"/>
    <n v="593"/>
    <n v="2323"/>
    <n v="8"/>
    <n v="458"/>
    <n v="156"/>
    <x v="3"/>
    <n v="122"/>
    <n v="612"/>
  </r>
  <r>
    <n v="4"/>
    <n v="5"/>
    <x v="4"/>
    <x v="3"/>
    <n v="9"/>
    <x v="4"/>
    <n v="6720"/>
    <x v="4"/>
    <n v="313"/>
    <n v="266"/>
    <n v="10"/>
    <n v="81"/>
    <n v="520"/>
    <n v="145"/>
    <n v="6660"/>
    <n v="62"/>
    <n v="410"/>
    <n v="175"/>
    <x v="4"/>
    <n v="144"/>
    <n v="953"/>
  </r>
  <r>
    <n v="5"/>
    <n v="6"/>
    <x v="5"/>
    <x v="4"/>
    <n v="4"/>
    <x v="5"/>
    <n v="3148"/>
    <x v="5"/>
    <n v="8"/>
    <n v="61"/>
    <n v="0"/>
    <n v="4"/>
    <n v="159"/>
    <n v="3"/>
    <n v="3883"/>
    <n v="0"/>
    <n v="19"/>
    <n v="0"/>
    <x v="5"/>
    <n v="4"/>
    <n v="247"/>
  </r>
  <r>
    <n v="6"/>
    <n v="7"/>
    <x v="6"/>
    <x v="4"/>
    <n v="4"/>
    <x v="6"/>
    <n v="13752"/>
    <x v="6"/>
    <n v="370"/>
    <n v="394"/>
    <n v="51"/>
    <n v="95"/>
    <n v="283"/>
    <n v="64"/>
    <n v="13314"/>
    <n v="261"/>
    <n v="733"/>
    <n v="662"/>
    <x v="6"/>
    <n v="156"/>
    <n v="904"/>
  </r>
  <r>
    <n v="7"/>
    <n v="8"/>
    <x v="7"/>
    <x v="2"/>
    <n v="1"/>
    <x v="7"/>
    <n v="4185"/>
    <x v="7"/>
    <n v="179"/>
    <n v="393"/>
    <n v="93"/>
    <n v="154"/>
    <n v="292"/>
    <n v="529"/>
    <n v="2344"/>
    <n v="592"/>
    <n v="913"/>
    <n v="690"/>
    <x v="7"/>
    <n v="462"/>
    <n v="1210"/>
  </r>
  <r>
    <n v="8"/>
    <n v="9"/>
    <x v="8"/>
    <x v="2"/>
    <n v="1"/>
    <x v="8"/>
    <n v="2763"/>
    <x v="8"/>
    <n v="10"/>
    <n v="43"/>
    <n v="0"/>
    <n v="0"/>
    <n v="0"/>
    <n v="72"/>
    <n v="516"/>
    <n v="0"/>
    <n v="21"/>
    <n v="78"/>
    <x v="8"/>
    <n v="0"/>
    <n v="1392"/>
  </r>
  <r>
    <n v="9"/>
    <n v="10"/>
    <x v="9"/>
    <x v="2"/>
    <n v="1"/>
    <x v="9"/>
    <n v="2859"/>
    <x v="9"/>
    <n v="29"/>
    <n v="58"/>
    <n v="0"/>
    <n v="0"/>
    <n v="315"/>
    <n v="47"/>
    <n v="2428"/>
    <n v="0"/>
    <n v="14"/>
    <n v="2"/>
    <x v="9"/>
    <n v="0"/>
    <n v="633"/>
  </r>
  <r>
    <n v="10"/>
    <n v="11"/>
    <x v="10"/>
    <x v="3"/>
    <n v="9"/>
    <x v="10"/>
    <n v="1627"/>
    <x v="10"/>
    <n v="149"/>
    <n v="221"/>
    <n v="1"/>
    <n v="6"/>
    <n v="25"/>
    <n v="543"/>
    <n v="652"/>
    <n v="37"/>
    <n v="169"/>
    <n v="110"/>
    <x v="10"/>
    <n v="0"/>
    <n v="0"/>
  </r>
  <r>
    <n v="11"/>
    <n v="12"/>
    <x v="11"/>
    <x v="0"/>
    <n v="2"/>
    <x v="11"/>
    <n v="23370"/>
    <x v="11"/>
    <n v="455"/>
    <n v="877"/>
    <n v="99"/>
    <n v="145"/>
    <n v="4700"/>
    <n v="396"/>
    <n v="31506"/>
    <n v="228"/>
    <n v="900"/>
    <n v="292"/>
    <x v="11"/>
    <n v="40"/>
    <n v="4955"/>
  </r>
  <r>
    <n v="12"/>
    <n v="13"/>
    <x v="12"/>
    <x v="0"/>
    <n v="2"/>
    <x v="12"/>
    <n v="20611"/>
    <x v="12"/>
    <n v="1178"/>
    <n v="1138"/>
    <n v="92"/>
    <n v="1393"/>
    <n v="86"/>
    <n v="133"/>
    <n v="34062"/>
    <n v="406"/>
    <n v="1254"/>
    <n v="121"/>
    <x v="12"/>
    <n v="61"/>
    <n v="50"/>
  </r>
  <r>
    <n v="13"/>
    <n v="14"/>
    <x v="13"/>
    <x v="3"/>
    <n v="9"/>
    <x v="13"/>
    <n v="20967"/>
    <x v="13"/>
    <n v="1526"/>
    <n v="932"/>
    <n v="87"/>
    <n v="86"/>
    <n v="4130"/>
    <n v="3083"/>
    <n v="28017"/>
    <n v="413"/>
    <n v="1300"/>
    <n v="657"/>
    <x v="13"/>
    <n v="681"/>
    <n v="4589"/>
  </r>
  <r>
    <n v="14"/>
    <n v="15"/>
    <x v="14"/>
    <x v="4"/>
    <n v="4"/>
    <x v="14"/>
    <n v="29790"/>
    <x v="14"/>
    <n v="897"/>
    <n v="796"/>
    <n v="9"/>
    <n v="129"/>
    <n v="5537"/>
    <n v="226"/>
    <n v="23643"/>
    <n v="97"/>
    <n v="1922"/>
    <n v="765"/>
    <x v="14"/>
    <n v="378"/>
    <n v="3883"/>
  </r>
  <r>
    <n v="15"/>
    <n v="16"/>
    <x v="15"/>
    <x v="1"/>
    <n v="5"/>
    <x v="15"/>
    <n v="0"/>
    <x v="1"/>
    <n v="0"/>
    <n v="0"/>
    <n v="0"/>
    <n v="0"/>
    <n v="0"/>
    <n v="71"/>
    <n v="57"/>
    <n v="0"/>
    <n v="39"/>
    <n v="0"/>
    <x v="15"/>
    <n v="30"/>
    <n v="66"/>
  </r>
  <r>
    <n v="16"/>
    <n v="17"/>
    <x v="16"/>
    <x v="1"/>
    <n v="5"/>
    <x v="16"/>
    <n v="40"/>
    <x v="1"/>
    <n v="0"/>
    <n v="0"/>
    <n v="0"/>
    <n v="0"/>
    <n v="0"/>
    <n v="35"/>
    <n v="146"/>
    <n v="0"/>
    <n v="0"/>
    <n v="0"/>
    <x v="16"/>
    <n v="0"/>
    <n v="0"/>
  </r>
  <r>
    <n v="17"/>
    <n v="18"/>
    <x v="17"/>
    <x v="5"/>
    <n v="3"/>
    <x v="17"/>
    <n v="48"/>
    <x v="15"/>
    <n v="0"/>
    <n v="1"/>
    <n v="0"/>
    <n v="0"/>
    <n v="28"/>
    <n v="27"/>
    <n v="14"/>
    <n v="0"/>
    <n v="2"/>
    <n v="0"/>
    <x v="17"/>
    <n v="7"/>
    <n v="11"/>
  </r>
  <r>
    <n v="18"/>
    <n v="19"/>
    <x v="18"/>
    <x v="1"/>
    <n v="5"/>
    <x v="18"/>
    <n v="51"/>
    <x v="1"/>
    <n v="0"/>
    <n v="26"/>
    <n v="0"/>
    <n v="0"/>
    <n v="70"/>
    <n v="13"/>
    <n v="11"/>
    <n v="0"/>
    <n v="0"/>
    <n v="0"/>
    <x v="16"/>
    <n v="0"/>
    <n v="0"/>
  </r>
  <r>
    <n v="19"/>
    <n v="20"/>
    <x v="19"/>
    <x v="3"/>
    <n v="9"/>
    <x v="19"/>
    <n v="3699"/>
    <x v="16"/>
    <n v="286"/>
    <n v="519"/>
    <n v="114"/>
    <n v="161"/>
    <n v="326"/>
    <n v="1255"/>
    <n v="4984"/>
    <n v="75"/>
    <n v="565"/>
    <n v="188"/>
    <x v="18"/>
    <n v="80"/>
    <n v="1375"/>
  </r>
  <r>
    <n v="20"/>
    <n v="21"/>
    <x v="20"/>
    <x v="2"/>
    <n v="1"/>
    <x v="20"/>
    <n v="2253"/>
    <x v="17"/>
    <n v="211"/>
    <n v="127"/>
    <n v="17"/>
    <n v="34"/>
    <n v="153"/>
    <n v="317"/>
    <n v="2517"/>
    <n v="180"/>
    <n v="512"/>
    <n v="194"/>
    <x v="19"/>
    <n v="17"/>
    <n v="498"/>
  </r>
  <r>
    <n v="21"/>
    <n v="22"/>
    <x v="21"/>
    <x v="6"/>
    <n v="6"/>
    <x v="21"/>
    <n v="11395"/>
    <x v="18"/>
    <n v="1157"/>
    <n v="656"/>
    <n v="2"/>
    <n v="176"/>
    <n v="1803"/>
    <n v="673"/>
    <n v="13358"/>
    <n v="0"/>
    <n v="981"/>
    <n v="217"/>
    <x v="20"/>
    <n v="222"/>
    <n v="5012"/>
  </r>
  <r>
    <n v="22"/>
    <n v="23"/>
    <x v="22"/>
    <x v="1"/>
    <n v="5"/>
    <x v="22"/>
    <n v="28"/>
    <x v="1"/>
    <n v="0"/>
    <n v="0"/>
    <n v="0"/>
    <n v="0"/>
    <n v="51"/>
    <n v="12"/>
    <n v="45"/>
    <n v="0"/>
    <n v="20"/>
    <n v="0"/>
    <x v="21"/>
    <n v="0"/>
    <n v="0"/>
  </r>
  <r>
    <n v="23"/>
    <n v="24"/>
    <x v="23"/>
    <x v="0"/>
    <n v="2"/>
    <x v="23"/>
    <n v="28804"/>
    <x v="19"/>
    <n v="1869"/>
    <n v="1529"/>
    <n v="451"/>
    <n v="161"/>
    <n v="6874"/>
    <n v="531"/>
    <n v="47055"/>
    <n v="1004"/>
    <n v="3209"/>
    <n v="2367"/>
    <x v="22"/>
    <n v="671"/>
    <n v="4866"/>
  </r>
  <r>
    <n v="24"/>
    <n v="25"/>
    <x v="24"/>
    <x v="3"/>
    <n v="9"/>
    <x v="24"/>
    <n v="6266"/>
    <x v="20"/>
    <n v="232"/>
    <n v="570"/>
    <n v="22"/>
    <n v="157"/>
    <n v="4065"/>
    <n v="202"/>
    <n v="13615"/>
    <n v="52"/>
    <n v="156"/>
    <n v="37"/>
    <x v="23"/>
    <n v="14"/>
    <n v="1301"/>
  </r>
  <r>
    <n v="25"/>
    <n v="26"/>
    <x v="25"/>
    <x v="5"/>
    <n v="3"/>
    <x v="25"/>
    <n v="499"/>
    <x v="1"/>
    <n v="7"/>
    <n v="29"/>
    <n v="1"/>
    <n v="0"/>
    <n v="0"/>
    <n v="5"/>
    <n v="413"/>
    <n v="0"/>
    <n v="15"/>
    <n v="0"/>
    <x v="24"/>
    <n v="0"/>
    <n v="28"/>
  </r>
  <r>
    <n v="26"/>
    <n v="27"/>
    <x v="26"/>
    <x v="2"/>
    <n v="1"/>
    <x v="26"/>
    <n v="94"/>
    <x v="21"/>
    <n v="69"/>
    <n v="99"/>
    <n v="7"/>
    <n v="0"/>
    <n v="72"/>
    <n v="40"/>
    <n v="736"/>
    <n v="0"/>
    <n v="105"/>
    <n v="0"/>
    <x v="25"/>
    <n v="0"/>
    <n v="70"/>
  </r>
  <r>
    <n v="27"/>
    <n v="28"/>
    <x v="27"/>
    <x v="2"/>
    <n v="1"/>
    <x v="27"/>
    <n v="2561"/>
    <x v="22"/>
    <n v="362"/>
    <n v="763"/>
    <n v="115"/>
    <n v="238"/>
    <n v="1915"/>
    <n v="4633"/>
    <n v="10184"/>
    <n v="632"/>
    <n v="2560"/>
    <n v="1123"/>
    <x v="26"/>
    <n v="1121"/>
    <n v="4093"/>
  </r>
  <r>
    <n v="28"/>
    <n v="29"/>
    <x v="28"/>
    <x v="5"/>
    <n v="3"/>
    <x v="15"/>
    <n v="3339"/>
    <x v="23"/>
    <n v="179"/>
    <n v="205"/>
    <n v="106"/>
    <n v="49"/>
    <n v="1356"/>
    <n v="462"/>
    <n v="1473"/>
    <n v="90"/>
    <n v="93"/>
    <n v="53"/>
    <x v="27"/>
    <n v="22"/>
    <n v="6915"/>
  </r>
  <r>
    <n v="29"/>
    <n v="30"/>
    <x v="29"/>
    <x v="7"/>
    <n v="7"/>
    <x v="16"/>
    <n v="94"/>
    <x v="24"/>
    <n v="20"/>
    <n v="11"/>
    <n v="0"/>
    <n v="0"/>
    <n v="0"/>
    <n v="27"/>
    <n v="124"/>
    <n v="2"/>
    <n v="31"/>
    <n v="0"/>
    <x v="28"/>
    <n v="0"/>
    <n v="39"/>
  </r>
  <r>
    <n v="30"/>
    <n v="31"/>
    <x v="30"/>
    <x v="2"/>
    <n v="1"/>
    <x v="1"/>
    <n v="160"/>
    <x v="25"/>
    <n v="25"/>
    <n v="17"/>
    <n v="0"/>
    <n v="0"/>
    <n v="7"/>
    <n v="9"/>
    <n v="380"/>
    <n v="10"/>
    <n v="17"/>
    <n v="5"/>
    <x v="16"/>
    <n v="0"/>
    <n v="7"/>
  </r>
  <r>
    <n v="31"/>
    <n v="32"/>
    <x v="31"/>
    <x v="4"/>
    <n v="4"/>
    <x v="28"/>
    <n v="21"/>
    <x v="1"/>
    <n v="0"/>
    <n v="0"/>
    <n v="0"/>
    <n v="0"/>
    <n v="65"/>
    <n v="0"/>
    <n v="8"/>
    <n v="0"/>
    <n v="5"/>
    <n v="0"/>
    <x v="29"/>
    <n v="2"/>
    <n v="4"/>
  </r>
  <r>
    <n v="32"/>
    <n v="33"/>
    <x v="32"/>
    <x v="4"/>
    <n v="4"/>
    <x v="15"/>
    <n v="21"/>
    <x v="26"/>
    <n v="2"/>
    <n v="1"/>
    <n v="0"/>
    <n v="0"/>
    <n v="10"/>
    <n v="7"/>
    <n v="29"/>
    <n v="0"/>
    <n v="2"/>
    <n v="0"/>
    <x v="30"/>
    <n v="1"/>
    <n v="27"/>
  </r>
  <r>
    <n v="33"/>
    <n v="34"/>
    <x v="33"/>
    <x v="2"/>
    <n v="1"/>
    <x v="29"/>
    <m/>
    <x v="1"/>
    <n v="0"/>
    <n v="0"/>
    <n v="0"/>
    <n v="0"/>
    <n v="0"/>
    <n v="164"/>
    <n v="1696"/>
    <n v="229"/>
    <n v="131"/>
    <n v="129"/>
    <x v="31"/>
    <n v="0"/>
    <n v="2838"/>
  </r>
  <r>
    <n v="34"/>
    <n v="35"/>
    <x v="34"/>
    <x v="8"/>
    <n v="8"/>
    <x v="15"/>
    <n v="1"/>
    <x v="1"/>
    <n v="0"/>
    <n v="0"/>
    <n v="0"/>
    <n v="0"/>
    <n v="0"/>
    <n v="0"/>
    <n v="0"/>
    <n v="0"/>
    <n v="0"/>
    <n v="0"/>
    <x v="16"/>
    <n v="0"/>
    <n v="0"/>
  </r>
  <r>
    <n v="35"/>
    <n v="36"/>
    <x v="35"/>
    <x v="0"/>
    <n v="2"/>
    <x v="30"/>
    <n v="250"/>
    <x v="27"/>
    <n v="0"/>
    <n v="8"/>
    <n v="12"/>
    <n v="15"/>
    <n v="417"/>
    <n v="82"/>
    <n v="1297"/>
    <n v="9"/>
    <n v="90"/>
    <n v="0"/>
    <x v="32"/>
    <n v="0"/>
    <n v="1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B32AA-60A4-4AA5-85C4-C65548CFCD75}" name="PivotTable1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5" firstHeaderRow="0" firstDataRow="1" firstDataCol="1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10">
        <item h="1" x="3"/>
        <item x="5"/>
        <item h="1" x="2"/>
        <item h="1" x="1"/>
        <item h="1" x="6"/>
        <item h="1" x="0"/>
        <item h="1" x="7"/>
        <item h="1" x="8"/>
        <item h="1"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lcintake2014" fld="5" baseField="0" baseItem="0"/>
    <dataField name="Sum of alcintake2016" fld="13" baseField="0" baseItem="0"/>
  </dataFields>
  <chartFormats count="10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F9CEB-2A7A-4BB1-9B8F-54B90765C4CA}" name="PivotTable2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F4" firstHeaderRow="0" firstDataRow="1" firstDataCol="0"/>
  <pivotFields count="21">
    <pivotField compact="0" outline="0" showAll="0"/>
    <pivotField compact="0" outline="0" showAll="0"/>
    <pivotField compact="0" outline="0" showAll="0"/>
    <pivotField compact="0" outline="0" showAll="0">
      <items count="10">
        <item h="1" x="3"/>
        <item x="5"/>
        <item h="1" x="2"/>
        <item h="1" x="1"/>
        <item h="1" x="6"/>
        <item h="1" x="0"/>
        <item h="1" x="7"/>
        <item h="1" x="8"/>
        <item h="1" x="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overspeed2014" fld="6" baseField="0" baseItem="0"/>
    <dataField name="Sum of lanejumping2014" fld="8" baseField="0" baseItem="0"/>
    <dataField name="Sum of signalavoid2014" fld="10" baseField="0" baseItem="0"/>
    <dataField name="Sum of wrongside2014" fld="9" baseField="0" baseItem="0"/>
    <dataField name="Sum of overtaking2014" fld="7" baseField="0" baseItem="0"/>
    <dataField name="Sum of asleep2014" fld="11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D1187-5405-435E-B74C-A8DD45970EF9}" name="PivotTable3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axis="axisRow" compact="0" outline="0" showAll="0" measureFilter="1">
      <items count="37">
        <item x="29"/>
        <item x="0"/>
        <item x="1"/>
        <item x="2"/>
        <item x="3"/>
        <item x="30"/>
        <item x="4"/>
        <item x="31"/>
        <item x="32"/>
        <item x="33"/>
        <item x="5"/>
        <item x="6"/>
        <item x="7"/>
        <item x="8"/>
        <item x="9"/>
        <item x="10"/>
        <item x="11"/>
        <item x="12"/>
        <item x="34"/>
        <item x="13"/>
        <item x="14"/>
        <item x="15"/>
        <item x="16"/>
        <item x="17"/>
        <item x="18"/>
        <item x="19"/>
        <item x="35"/>
        <item x="20"/>
        <item x="21"/>
        <item x="22"/>
        <item x="23"/>
        <item x="24"/>
        <item x="25"/>
        <item x="27"/>
        <item x="26"/>
        <item x="28"/>
        <item t="default"/>
      </items>
    </pivotField>
    <pivotField compact="0" outline="0" showAll="0">
      <items count="10">
        <item h="1" x="3"/>
        <item x="5"/>
        <item h="1" x="2"/>
        <item h="1" x="1"/>
        <item h="1" x="6"/>
        <item h="1" x="0"/>
        <item h="1" x="7"/>
        <item h="1" x="8"/>
        <item h="1"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23"/>
    </i>
    <i>
      <x v="32"/>
    </i>
    <i>
      <x v="35"/>
    </i>
    <i t="grand">
      <x/>
    </i>
  </rowItems>
  <colItems count="1">
    <i/>
  </colItems>
  <dataFields count="1">
    <dataField name="Sum of overspeed2014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586D5-53D8-461F-B000-DF8A36484D4F}" name="PivotTable1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5" firstHeaderRow="0" firstDataRow="1" firstDataCol="1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10">
        <item h="1" x="3"/>
        <item x="5"/>
        <item h="1" x="2"/>
        <item h="1" x="1"/>
        <item h="1" x="6"/>
        <item h="1" x="0"/>
        <item h="1" x="7"/>
        <item h="1" x="8"/>
        <item h="1" x="4"/>
        <item t="default"/>
      </items>
    </pivotField>
    <pivotField compact="0" outline="0" showAll="0"/>
    <pivotField compact="0" outline="0" showAll="0">
      <items count="32">
        <item x="15"/>
        <item x="28"/>
        <item x="22"/>
        <item x="5"/>
        <item x="1"/>
        <item x="25"/>
        <item x="17"/>
        <item x="16"/>
        <item x="12"/>
        <item x="6"/>
        <item x="29"/>
        <item x="30"/>
        <item x="8"/>
        <item x="18"/>
        <item x="4"/>
        <item x="9"/>
        <item x="20"/>
        <item x="26"/>
        <item x="0"/>
        <item x="10"/>
        <item x="2"/>
        <item x="19"/>
        <item x="21"/>
        <item x="24"/>
        <item x="7"/>
        <item x="27"/>
        <item x="14"/>
        <item x="23"/>
        <item x="3"/>
        <item x="11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ignalavoid2016" fld="15" baseField="0" baseItem="0"/>
    <dataField name="Sum of overspeed2016" fld="14" baseField="0" baseItem="0"/>
    <dataField name="Sum of alcintake2016" fld="13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9367B91-4F8B-4F7D-89FF-52661ED8386E}" sourceName="region">
  <pivotTables>
    <pivotTable tabId="5" name="PivotTable1"/>
    <pivotTable tabId="2" name="PivotTable1"/>
    <pivotTable tabId="3" name="PivotTable2"/>
    <pivotTable tabId="4" name="PivotTable3"/>
  </pivotTables>
  <data>
    <tabular pivotCacheId="2053594589">
      <items count="9">
        <i x="3"/>
        <i x="5" s="1"/>
        <i x="2"/>
        <i x="1"/>
        <i x="6"/>
        <i x="0"/>
        <i x="7"/>
        <i x="8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BEF6405-4B54-4548-957F-5756FD2FF603}" cache="Slicer_region" caption="region" style="SlicerStyleLight6" rowHeight="228600"/>
  <slicer name="region 1" xr10:uid="{F02767DF-717A-4BB1-AFB5-BD5198A25057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B9DCD-0BC7-44CD-AB0C-3B886A428786}" name="Table1" displayName="Table1" ref="A1:U37" totalsRowShown="0">
  <autoFilter ref="A1:U37" xr:uid="{C63B9DCD-0BC7-44CD-AB0C-3B886A428786}"/>
  <tableColumns count="21">
    <tableColumn id="1" xr3:uid="{C318564B-FE87-4D83-BAFC-A3774FD0F3B4}" name="index"/>
    <tableColumn id="2" xr3:uid="{85FFBF53-3AAA-4471-9AC6-772A868E93C9}" name="sno"/>
    <tableColumn id="3" xr3:uid="{A190EF8B-C307-4952-940B-172296894284}" name="stateut"/>
    <tableColumn id="4" xr3:uid="{ED89E5F0-0FBA-4304-9B39-7BC5177DE33D}" name="region"/>
    <tableColumn id="5" xr3:uid="{2783CF5F-8262-419C-BFAC-2529145BEFA6}" name="regionid"/>
    <tableColumn id="6" xr3:uid="{1C207670-C850-4EE3-9C8A-CD8336FACCCF}" name="alcintake2014"/>
    <tableColumn id="7" xr3:uid="{8C18B242-5DE8-4A05-9480-91A44B4297D6}" name="overspeed2014"/>
    <tableColumn id="8" xr3:uid="{98826B9E-5A4D-4C70-ADAA-1325CFD637CA}" name="overtaking2014"/>
    <tableColumn id="9" xr3:uid="{3CD464DF-F364-4D10-8032-AD21E85296EF}" name="lanejumping2014"/>
    <tableColumn id="10" xr3:uid="{B041D0AE-5AC4-4829-B410-052A3676395C}" name="wrongside2014"/>
    <tableColumn id="11" xr3:uid="{789E822B-4A5B-463D-9AF8-5AA1C4450E2F}" name="signalavoid2014"/>
    <tableColumn id="12" xr3:uid="{C78BB758-440F-43E4-85A2-ADD849CC4154}" name="asleep2014"/>
    <tableColumn id="13" xr3:uid="{A7E60952-A76F-46AA-BDDF-930DC97C9FCC}" name="othercause2014"/>
    <tableColumn id="14" xr3:uid="{B5786CE1-B33F-48AF-8B3A-E14CD5162D35}" name="alcintake2016"/>
    <tableColumn id="15" xr3:uid="{C4D536BF-10F8-4E0B-848F-F9E00E27696F}" name="overspeed2016"/>
    <tableColumn id="16" xr3:uid="{B1253D77-9608-45D2-8437-920238A495DF}" name="signalavoid2016"/>
    <tableColumn id="17" xr3:uid="{B7E728CB-6EB5-4839-BF11-D4F876137286}" name="wrongside2016"/>
    <tableColumn id="18" xr3:uid="{81106F72-47D0-48B1-80DF-FD1C0240A2B2}" name="lanejumping2016"/>
    <tableColumn id="19" xr3:uid="{533E6CFD-F98A-498B-B255-A40C5235F7E5}" name="overtaking2016"/>
    <tableColumn id="20" xr3:uid="{9DF1D484-4BD5-447C-97FC-8F93569606FA}" name="asleep2016"/>
    <tableColumn id="21" xr3:uid="{7D771762-D5E2-4BA4-BC09-299704C70CD0}" name="othercause20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EFE4-2296-4EB1-862B-6F471C476179}">
  <dimension ref="A3:C5"/>
  <sheetViews>
    <sheetView topLeftCell="A11" workbookViewId="0">
      <selection activeCell="A3" sqref="A3"/>
    </sheetView>
  </sheetViews>
  <sheetFormatPr defaultRowHeight="15"/>
  <cols>
    <col min="1" max="1" width="11.7109375" bestFit="1" customWidth="1"/>
    <col min="2" max="3" width="20.5703125" bestFit="1" customWidth="1"/>
    <col min="4" max="4" width="11" bestFit="1" customWidth="1"/>
    <col min="5" max="5" width="15.28515625" bestFit="1" customWidth="1"/>
    <col min="6" max="6" width="20.5703125" bestFit="1" customWidth="1"/>
  </cols>
  <sheetData>
    <row r="3" spans="1:3">
      <c r="A3" s="2" t="s">
        <v>0</v>
      </c>
      <c r="B3" t="s">
        <v>1</v>
      </c>
      <c r="C3" t="s">
        <v>2</v>
      </c>
    </row>
    <row r="4" spans="1:3">
      <c r="A4" t="s">
        <v>3</v>
      </c>
      <c r="B4" s="1">
        <v>28</v>
      </c>
      <c r="C4" s="1">
        <v>494</v>
      </c>
    </row>
    <row r="5" spans="1:3">
      <c r="A5" t="s">
        <v>4</v>
      </c>
      <c r="B5" s="1">
        <v>28</v>
      </c>
      <c r="C5" s="1">
        <v>494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9C8B-9A62-494E-8F79-E6CC8E75CA2B}">
  <dimension ref="A3:F4"/>
  <sheetViews>
    <sheetView workbookViewId="0">
      <selection activeCell="A3" sqref="A3"/>
    </sheetView>
  </sheetViews>
  <sheetFormatPr defaultRowHeight="15"/>
  <cols>
    <col min="1" max="1" width="22" bestFit="1" customWidth="1"/>
    <col min="2" max="2" width="23.7109375" bestFit="1" customWidth="1"/>
    <col min="3" max="3" width="22.7109375" bestFit="1" customWidth="1"/>
    <col min="4" max="4" width="21.85546875" bestFit="1" customWidth="1"/>
    <col min="5" max="5" width="22.140625" bestFit="1" customWidth="1"/>
    <col min="6" max="6" width="18.28515625" bestFit="1" customWidth="1"/>
  </cols>
  <sheetData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 s="1">
        <v>3886</v>
      </c>
      <c r="B4" s="1">
        <v>186</v>
      </c>
      <c r="C4" s="1">
        <v>107</v>
      </c>
      <c r="D4" s="1">
        <v>235</v>
      </c>
      <c r="E4" s="1">
        <v>281</v>
      </c>
      <c r="F4" s="1">
        <v>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5E2D-AD01-4DDA-9F4C-9D32A3F4519A}">
  <dimension ref="A3:B7"/>
  <sheetViews>
    <sheetView workbookViewId="0">
      <selection activeCell="B14" sqref="B14"/>
    </sheetView>
  </sheetViews>
  <sheetFormatPr defaultRowHeight="15"/>
  <cols>
    <col min="1" max="1" width="12" bestFit="1" customWidth="1"/>
    <col min="2" max="2" width="22" bestFit="1" customWidth="1"/>
  </cols>
  <sheetData>
    <row r="3" spans="1:2">
      <c r="A3" s="2" t="s">
        <v>11</v>
      </c>
      <c r="B3" t="s">
        <v>5</v>
      </c>
    </row>
    <row r="4" spans="1:2">
      <c r="A4" t="s">
        <v>12</v>
      </c>
      <c r="B4" s="1">
        <v>48</v>
      </c>
    </row>
    <row r="5" spans="1:2">
      <c r="A5" t="s">
        <v>13</v>
      </c>
      <c r="B5" s="1">
        <v>499</v>
      </c>
    </row>
    <row r="6" spans="1:2">
      <c r="A6" t="s">
        <v>14</v>
      </c>
      <c r="B6" s="1">
        <v>3339</v>
      </c>
    </row>
    <row r="7" spans="1:2">
      <c r="A7" t="s">
        <v>4</v>
      </c>
      <c r="B7" s="1">
        <v>3886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A425-6B25-4E8B-8C45-636D3885BD05}">
  <dimension ref="A3:D5"/>
  <sheetViews>
    <sheetView topLeftCell="C1" workbookViewId="0">
      <selection activeCell="B4" sqref="B4"/>
    </sheetView>
  </sheetViews>
  <sheetFormatPr defaultRowHeight="15"/>
  <cols>
    <col min="1" max="1" width="11.7109375" bestFit="1" customWidth="1"/>
    <col min="2" max="2" width="22.7109375" bestFit="1" customWidth="1"/>
    <col min="3" max="3" width="22" bestFit="1" customWidth="1"/>
    <col min="4" max="4" width="20.5703125" bestFit="1" customWidth="1"/>
  </cols>
  <sheetData>
    <row r="3" spans="1:4">
      <c r="A3" s="2" t="s">
        <v>0</v>
      </c>
      <c r="B3" t="s">
        <v>15</v>
      </c>
      <c r="C3" t="s">
        <v>16</v>
      </c>
      <c r="D3" t="s">
        <v>2</v>
      </c>
    </row>
    <row r="4" spans="1:4">
      <c r="A4" t="s">
        <v>3</v>
      </c>
      <c r="B4" s="1">
        <v>90</v>
      </c>
      <c r="C4" s="1">
        <v>1900</v>
      </c>
      <c r="D4" s="1">
        <v>494</v>
      </c>
    </row>
    <row r="5" spans="1:4">
      <c r="A5" t="s">
        <v>4</v>
      </c>
      <c r="B5" s="1">
        <v>90</v>
      </c>
      <c r="C5" s="1">
        <v>1900</v>
      </c>
      <c r="D5" s="1">
        <v>494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3C75-81B6-4A32-9B66-4D11EA537678}">
  <dimension ref="A1:BP52"/>
  <sheetViews>
    <sheetView showGridLines="0" tabSelected="1" topLeftCell="AS1" workbookViewId="0">
      <selection activeCell="BZ15" sqref="BZ15:CB15"/>
    </sheetView>
  </sheetViews>
  <sheetFormatPr defaultRowHeight="15"/>
  <cols>
    <col min="3" max="3" width="17.7109375" bestFit="1" customWidth="1"/>
    <col min="4" max="4" width="10.28515625" bestFit="1" customWidth="1"/>
    <col min="5" max="5" width="10.85546875" bestFit="1" customWidth="1"/>
    <col min="6" max="6" width="16" bestFit="1" customWidth="1"/>
    <col min="7" max="7" width="17.28515625" bestFit="1" customWidth="1"/>
    <col min="8" max="8" width="17.42578125" bestFit="1" customWidth="1"/>
    <col min="9" max="9" width="19" bestFit="1" customWidth="1"/>
    <col min="10" max="10" width="17.140625" bestFit="1" customWidth="1"/>
    <col min="11" max="11" width="18" bestFit="1" customWidth="1"/>
    <col min="12" max="12" width="13.5703125" bestFit="1" customWidth="1"/>
    <col min="13" max="13" width="17.85546875" bestFit="1" customWidth="1"/>
    <col min="14" max="14" width="16" bestFit="1" customWidth="1"/>
    <col min="15" max="15" width="17.28515625" bestFit="1" customWidth="1"/>
    <col min="16" max="16" width="18" bestFit="1" customWidth="1"/>
    <col min="17" max="17" width="17.140625" bestFit="1" customWidth="1"/>
    <col min="18" max="18" width="19" bestFit="1" customWidth="1"/>
    <col min="19" max="19" width="17.42578125" bestFit="1" customWidth="1"/>
    <col min="20" max="20" width="13.5703125" bestFit="1" customWidth="1"/>
    <col min="21" max="21" width="17.85546875" bestFit="1" customWidth="1"/>
  </cols>
  <sheetData>
    <row r="1" spans="1:68">
      <c r="A1" t="s">
        <v>17</v>
      </c>
      <c r="B1" t="s">
        <v>18</v>
      </c>
      <c r="C1" t="s">
        <v>11</v>
      </c>
      <c r="D1" t="s">
        <v>0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BD1" s="8" t="s">
        <v>36</v>
      </c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</row>
    <row r="2" spans="1:68">
      <c r="A2">
        <v>0</v>
      </c>
      <c r="B2">
        <v>1</v>
      </c>
      <c r="C2" t="s">
        <v>37</v>
      </c>
      <c r="D2" t="s">
        <v>38</v>
      </c>
      <c r="E2">
        <v>2</v>
      </c>
      <c r="F2">
        <v>594</v>
      </c>
      <c r="G2">
        <v>12747</v>
      </c>
      <c r="H2">
        <v>507</v>
      </c>
      <c r="I2">
        <v>328</v>
      </c>
      <c r="J2">
        <v>668</v>
      </c>
      <c r="K2">
        <v>29</v>
      </c>
      <c r="L2">
        <v>154</v>
      </c>
      <c r="M2">
        <v>1938</v>
      </c>
      <c r="N2">
        <v>128</v>
      </c>
      <c r="O2">
        <v>17286</v>
      </c>
      <c r="P2">
        <v>40</v>
      </c>
      <c r="Q2">
        <v>667</v>
      </c>
      <c r="R2">
        <v>325</v>
      </c>
      <c r="S2">
        <v>1024</v>
      </c>
      <c r="T2">
        <v>306</v>
      </c>
      <c r="U2">
        <v>2868</v>
      </c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>
      <c r="A3">
        <v>1</v>
      </c>
      <c r="B3">
        <v>2</v>
      </c>
      <c r="C3" t="s">
        <v>39</v>
      </c>
      <c r="D3" t="s">
        <v>40</v>
      </c>
      <c r="E3">
        <v>5</v>
      </c>
      <c r="F3">
        <v>11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22</v>
      </c>
      <c r="N3">
        <v>15</v>
      </c>
      <c r="O3">
        <v>45</v>
      </c>
      <c r="P3">
        <v>0</v>
      </c>
      <c r="Q3">
        <v>7</v>
      </c>
      <c r="R3">
        <v>11</v>
      </c>
      <c r="S3">
        <v>8</v>
      </c>
      <c r="T3">
        <v>8</v>
      </c>
      <c r="U3">
        <v>18</v>
      </c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</row>
    <row r="4" spans="1:68">
      <c r="A4">
        <v>2</v>
      </c>
      <c r="B4">
        <v>3</v>
      </c>
      <c r="C4" t="s">
        <v>41</v>
      </c>
      <c r="D4" t="s">
        <v>40</v>
      </c>
      <c r="E4">
        <v>5</v>
      </c>
      <c r="F4">
        <v>613</v>
      </c>
      <c r="G4">
        <v>4596</v>
      </c>
      <c r="H4">
        <v>129</v>
      </c>
      <c r="I4">
        <v>104</v>
      </c>
      <c r="J4">
        <v>156</v>
      </c>
      <c r="K4">
        <v>7</v>
      </c>
      <c r="L4">
        <v>3</v>
      </c>
      <c r="M4">
        <v>628</v>
      </c>
      <c r="N4">
        <v>352</v>
      </c>
      <c r="O4">
        <v>3520</v>
      </c>
      <c r="P4">
        <v>64</v>
      </c>
      <c r="Q4">
        <v>334</v>
      </c>
      <c r="R4">
        <v>156</v>
      </c>
      <c r="S4">
        <v>371</v>
      </c>
      <c r="T4">
        <v>3</v>
      </c>
      <c r="U4">
        <v>873</v>
      </c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5"/>
    </row>
    <row r="5" spans="1:68">
      <c r="A5">
        <v>3</v>
      </c>
      <c r="B5">
        <v>4</v>
      </c>
      <c r="C5" t="s">
        <v>42</v>
      </c>
      <c r="D5" t="s">
        <v>43</v>
      </c>
      <c r="E5">
        <v>1</v>
      </c>
      <c r="F5">
        <v>1680</v>
      </c>
      <c r="G5">
        <v>1496</v>
      </c>
      <c r="H5">
        <v>278</v>
      </c>
      <c r="I5">
        <v>236</v>
      </c>
      <c r="J5">
        <v>308</v>
      </c>
      <c r="K5">
        <v>7</v>
      </c>
      <c r="L5">
        <v>72</v>
      </c>
      <c r="M5">
        <v>439</v>
      </c>
      <c r="N5">
        <v>593</v>
      </c>
      <c r="O5">
        <v>2323</v>
      </c>
      <c r="P5">
        <v>8</v>
      </c>
      <c r="Q5">
        <v>458</v>
      </c>
      <c r="R5">
        <v>156</v>
      </c>
      <c r="S5">
        <v>573</v>
      </c>
      <c r="T5">
        <v>122</v>
      </c>
      <c r="U5">
        <v>612</v>
      </c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5"/>
    </row>
    <row r="6" spans="1:68">
      <c r="A6">
        <v>4</v>
      </c>
      <c r="B6">
        <v>5</v>
      </c>
      <c r="C6" t="s">
        <v>44</v>
      </c>
      <c r="D6" t="s">
        <v>45</v>
      </c>
      <c r="E6">
        <v>9</v>
      </c>
      <c r="F6">
        <v>335</v>
      </c>
      <c r="G6">
        <v>6720</v>
      </c>
      <c r="H6">
        <v>188</v>
      </c>
      <c r="I6">
        <v>313</v>
      </c>
      <c r="J6">
        <v>266</v>
      </c>
      <c r="K6">
        <v>10</v>
      </c>
      <c r="L6">
        <v>81</v>
      </c>
      <c r="M6">
        <v>520</v>
      </c>
      <c r="N6">
        <v>145</v>
      </c>
      <c r="O6">
        <v>6660</v>
      </c>
      <c r="P6">
        <v>62</v>
      </c>
      <c r="Q6">
        <v>410</v>
      </c>
      <c r="R6">
        <v>175</v>
      </c>
      <c r="S6">
        <v>467</v>
      </c>
      <c r="T6">
        <v>144</v>
      </c>
      <c r="U6">
        <v>953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5"/>
    </row>
    <row r="7" spans="1:68">
      <c r="A7">
        <v>5</v>
      </c>
      <c r="B7">
        <v>6</v>
      </c>
      <c r="C7" t="s">
        <v>46</v>
      </c>
      <c r="D7" t="s">
        <v>47</v>
      </c>
      <c r="E7">
        <v>4</v>
      </c>
      <c r="F7">
        <v>9</v>
      </c>
      <c r="G7">
        <v>3148</v>
      </c>
      <c r="H7">
        <v>33</v>
      </c>
      <c r="I7">
        <v>8</v>
      </c>
      <c r="J7">
        <v>61</v>
      </c>
      <c r="K7">
        <v>0</v>
      </c>
      <c r="L7">
        <v>4</v>
      </c>
      <c r="M7">
        <v>159</v>
      </c>
      <c r="N7">
        <v>3</v>
      </c>
      <c r="O7">
        <v>3883</v>
      </c>
      <c r="P7">
        <v>0</v>
      </c>
      <c r="Q7">
        <v>19</v>
      </c>
      <c r="R7">
        <v>0</v>
      </c>
      <c r="S7">
        <v>80</v>
      </c>
      <c r="T7">
        <v>4</v>
      </c>
      <c r="U7">
        <v>247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5"/>
    </row>
    <row r="8" spans="1:68">
      <c r="A8">
        <v>6</v>
      </c>
      <c r="B8">
        <v>7</v>
      </c>
      <c r="C8" t="s">
        <v>48</v>
      </c>
      <c r="D8" t="s">
        <v>47</v>
      </c>
      <c r="E8">
        <v>4</v>
      </c>
      <c r="F8">
        <v>42</v>
      </c>
      <c r="G8">
        <v>13752</v>
      </c>
      <c r="H8">
        <v>641</v>
      </c>
      <c r="I8">
        <v>370</v>
      </c>
      <c r="J8">
        <v>394</v>
      </c>
      <c r="K8">
        <v>51</v>
      </c>
      <c r="L8">
        <v>95</v>
      </c>
      <c r="M8">
        <v>283</v>
      </c>
      <c r="N8">
        <v>64</v>
      </c>
      <c r="O8">
        <v>13314</v>
      </c>
      <c r="P8">
        <v>261</v>
      </c>
      <c r="Q8">
        <v>733</v>
      </c>
      <c r="R8">
        <v>662</v>
      </c>
      <c r="S8">
        <v>1016</v>
      </c>
      <c r="T8">
        <v>156</v>
      </c>
      <c r="U8">
        <v>904</v>
      </c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5"/>
    </row>
    <row r="9" spans="1:68">
      <c r="A9">
        <v>7</v>
      </c>
      <c r="B9">
        <v>8</v>
      </c>
      <c r="C9" t="s">
        <v>49</v>
      </c>
      <c r="D9" t="s">
        <v>43</v>
      </c>
      <c r="E9">
        <v>1</v>
      </c>
      <c r="F9">
        <v>1095</v>
      </c>
      <c r="G9">
        <v>4185</v>
      </c>
      <c r="H9">
        <v>206</v>
      </c>
      <c r="I9">
        <v>179</v>
      </c>
      <c r="J9">
        <v>393</v>
      </c>
      <c r="K9">
        <v>93</v>
      </c>
      <c r="L9">
        <v>154</v>
      </c>
      <c r="M9">
        <v>292</v>
      </c>
      <c r="N9">
        <v>529</v>
      </c>
      <c r="O9">
        <v>2344</v>
      </c>
      <c r="P9">
        <v>592</v>
      </c>
      <c r="Q9">
        <v>913</v>
      </c>
      <c r="R9">
        <v>690</v>
      </c>
      <c r="S9">
        <v>1134</v>
      </c>
      <c r="T9">
        <v>462</v>
      </c>
      <c r="U9">
        <v>1210</v>
      </c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5"/>
    </row>
    <row r="10" spans="1:68">
      <c r="A10">
        <v>8</v>
      </c>
      <c r="B10">
        <v>9</v>
      </c>
      <c r="C10" t="s">
        <v>50</v>
      </c>
      <c r="D10" t="s">
        <v>43</v>
      </c>
      <c r="E10">
        <v>1</v>
      </c>
      <c r="F10">
        <v>74</v>
      </c>
      <c r="G10">
        <v>2763</v>
      </c>
      <c r="H10">
        <v>21</v>
      </c>
      <c r="I10">
        <v>10</v>
      </c>
      <c r="J10">
        <v>43</v>
      </c>
      <c r="K10">
        <v>0</v>
      </c>
      <c r="L10">
        <v>0</v>
      </c>
      <c r="M10">
        <v>0</v>
      </c>
      <c r="N10">
        <v>72</v>
      </c>
      <c r="O10">
        <v>516</v>
      </c>
      <c r="P10">
        <v>0</v>
      </c>
      <c r="Q10">
        <v>21</v>
      </c>
      <c r="R10">
        <v>78</v>
      </c>
      <c r="S10">
        <v>195</v>
      </c>
      <c r="T10">
        <v>0</v>
      </c>
      <c r="U10">
        <v>1392</v>
      </c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5"/>
    </row>
    <row r="11" spans="1:68">
      <c r="A11">
        <v>9</v>
      </c>
      <c r="B11">
        <v>10</v>
      </c>
      <c r="C11" t="s">
        <v>51</v>
      </c>
      <c r="D11" t="s">
        <v>43</v>
      </c>
      <c r="E11">
        <v>1</v>
      </c>
      <c r="F11">
        <v>388</v>
      </c>
      <c r="G11">
        <v>2859</v>
      </c>
      <c r="H11">
        <v>67</v>
      </c>
      <c r="I11">
        <v>29</v>
      </c>
      <c r="J11">
        <v>58</v>
      </c>
      <c r="K11">
        <v>0</v>
      </c>
      <c r="L11">
        <v>0</v>
      </c>
      <c r="M11">
        <v>315</v>
      </c>
      <c r="N11">
        <v>47</v>
      </c>
      <c r="O11">
        <v>2428</v>
      </c>
      <c r="P11">
        <v>0</v>
      </c>
      <c r="Q11">
        <v>14</v>
      </c>
      <c r="R11">
        <v>2</v>
      </c>
      <c r="S11">
        <v>18</v>
      </c>
      <c r="T11">
        <v>0</v>
      </c>
      <c r="U11">
        <v>633</v>
      </c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5"/>
    </row>
    <row r="12" spans="1:68">
      <c r="A12">
        <v>10</v>
      </c>
      <c r="B12">
        <v>11</v>
      </c>
      <c r="C12" t="s">
        <v>52</v>
      </c>
      <c r="D12" t="s">
        <v>45</v>
      </c>
      <c r="E12">
        <v>9</v>
      </c>
      <c r="F12">
        <v>611</v>
      </c>
      <c r="G12">
        <v>1627</v>
      </c>
      <c r="H12">
        <v>68</v>
      </c>
      <c r="I12">
        <v>149</v>
      </c>
      <c r="J12">
        <v>221</v>
      </c>
      <c r="K12">
        <v>1</v>
      </c>
      <c r="L12">
        <v>6</v>
      </c>
      <c r="M12">
        <v>25</v>
      </c>
      <c r="N12">
        <v>543</v>
      </c>
      <c r="O12">
        <v>652</v>
      </c>
      <c r="P12">
        <v>37</v>
      </c>
      <c r="Q12">
        <v>169</v>
      </c>
      <c r="R12">
        <v>110</v>
      </c>
      <c r="S12">
        <v>155</v>
      </c>
      <c r="T12">
        <v>0</v>
      </c>
      <c r="U12">
        <v>0</v>
      </c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5"/>
    </row>
    <row r="13" spans="1:68">
      <c r="A13">
        <v>11</v>
      </c>
      <c r="B13">
        <v>12</v>
      </c>
      <c r="C13" t="s">
        <v>53</v>
      </c>
      <c r="D13" t="s">
        <v>38</v>
      </c>
      <c r="E13">
        <v>2</v>
      </c>
      <c r="F13">
        <v>2207</v>
      </c>
      <c r="G13">
        <v>23370</v>
      </c>
      <c r="H13">
        <v>944</v>
      </c>
      <c r="I13">
        <v>455</v>
      </c>
      <c r="J13">
        <v>877</v>
      </c>
      <c r="K13">
        <v>99</v>
      </c>
      <c r="L13">
        <v>145</v>
      </c>
      <c r="M13">
        <v>4700</v>
      </c>
      <c r="N13">
        <v>396</v>
      </c>
      <c r="O13">
        <v>31506</v>
      </c>
      <c r="P13">
        <v>228</v>
      </c>
      <c r="Q13">
        <v>900</v>
      </c>
      <c r="R13">
        <v>292</v>
      </c>
      <c r="S13">
        <v>1019</v>
      </c>
      <c r="T13">
        <v>40</v>
      </c>
      <c r="U13">
        <v>4955</v>
      </c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5"/>
    </row>
    <row r="14" spans="1:68">
      <c r="A14">
        <v>12</v>
      </c>
      <c r="B14">
        <v>13</v>
      </c>
      <c r="C14" t="s">
        <v>54</v>
      </c>
      <c r="D14" t="s">
        <v>38</v>
      </c>
      <c r="E14">
        <v>2</v>
      </c>
      <c r="F14">
        <v>35</v>
      </c>
      <c r="G14">
        <v>20611</v>
      </c>
      <c r="H14">
        <v>1217</v>
      </c>
      <c r="I14">
        <v>1178</v>
      </c>
      <c r="J14">
        <v>1138</v>
      </c>
      <c r="K14">
        <v>92</v>
      </c>
      <c r="L14">
        <v>1393</v>
      </c>
      <c r="M14">
        <v>86</v>
      </c>
      <c r="N14">
        <v>133</v>
      </c>
      <c r="O14">
        <v>34062</v>
      </c>
      <c r="P14">
        <v>406</v>
      </c>
      <c r="Q14">
        <v>1254</v>
      </c>
      <c r="R14">
        <v>121</v>
      </c>
      <c r="S14">
        <v>2175</v>
      </c>
      <c r="T14">
        <v>61</v>
      </c>
      <c r="U14">
        <v>50</v>
      </c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5"/>
    </row>
    <row r="15" spans="1:68">
      <c r="A15">
        <v>13</v>
      </c>
      <c r="B15">
        <v>14</v>
      </c>
      <c r="C15" t="s">
        <v>55</v>
      </c>
      <c r="D15" t="s">
        <v>45</v>
      </c>
      <c r="E15">
        <v>9</v>
      </c>
      <c r="F15">
        <v>3540</v>
      </c>
      <c r="G15">
        <v>20967</v>
      </c>
      <c r="H15">
        <v>1165</v>
      </c>
      <c r="I15">
        <v>1526</v>
      </c>
      <c r="J15">
        <v>932</v>
      </c>
      <c r="K15">
        <v>87</v>
      </c>
      <c r="L15">
        <v>86</v>
      </c>
      <c r="M15">
        <v>4130</v>
      </c>
      <c r="N15">
        <v>3083</v>
      </c>
      <c r="O15">
        <v>28017</v>
      </c>
      <c r="P15">
        <v>413</v>
      </c>
      <c r="Q15">
        <v>1300</v>
      </c>
      <c r="R15">
        <v>657</v>
      </c>
      <c r="S15">
        <v>4091</v>
      </c>
      <c r="T15">
        <v>681</v>
      </c>
      <c r="U15">
        <v>4589</v>
      </c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5"/>
    </row>
    <row r="16" spans="1:68">
      <c r="A16">
        <v>14</v>
      </c>
      <c r="B16">
        <v>15</v>
      </c>
      <c r="C16" t="s">
        <v>56</v>
      </c>
      <c r="D16" t="s">
        <v>47</v>
      </c>
      <c r="E16">
        <v>4</v>
      </c>
      <c r="F16">
        <v>1251</v>
      </c>
      <c r="G16">
        <v>29790</v>
      </c>
      <c r="H16">
        <v>1687</v>
      </c>
      <c r="I16">
        <v>897</v>
      </c>
      <c r="J16">
        <v>796</v>
      </c>
      <c r="K16">
        <v>9</v>
      </c>
      <c r="L16">
        <v>129</v>
      </c>
      <c r="M16">
        <v>5537</v>
      </c>
      <c r="N16">
        <v>226</v>
      </c>
      <c r="O16">
        <v>23643</v>
      </c>
      <c r="P16">
        <v>97</v>
      </c>
      <c r="Q16">
        <v>1922</v>
      </c>
      <c r="R16">
        <v>765</v>
      </c>
      <c r="S16">
        <v>1883</v>
      </c>
      <c r="T16">
        <v>378</v>
      </c>
      <c r="U16">
        <v>3883</v>
      </c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5"/>
    </row>
    <row r="17" spans="1:68">
      <c r="A17">
        <v>15</v>
      </c>
      <c r="B17">
        <v>16</v>
      </c>
      <c r="C17" t="s">
        <v>57</v>
      </c>
      <c r="D17" t="s">
        <v>40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71</v>
      </c>
      <c r="O17">
        <v>57</v>
      </c>
      <c r="P17">
        <v>0</v>
      </c>
      <c r="Q17">
        <v>39</v>
      </c>
      <c r="R17">
        <v>0</v>
      </c>
      <c r="S17">
        <v>46</v>
      </c>
      <c r="T17">
        <v>30</v>
      </c>
      <c r="U17">
        <v>66</v>
      </c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5"/>
    </row>
    <row r="18" spans="1:68">
      <c r="A18">
        <v>16</v>
      </c>
      <c r="B18">
        <v>17</v>
      </c>
      <c r="C18" t="s">
        <v>58</v>
      </c>
      <c r="D18" t="s">
        <v>40</v>
      </c>
      <c r="E18">
        <v>5</v>
      </c>
      <c r="F18">
        <v>25</v>
      </c>
      <c r="G18">
        <v>40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</v>
      </c>
      <c r="O18">
        <v>146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5"/>
    </row>
    <row r="19" spans="1:68">
      <c r="A19">
        <v>17</v>
      </c>
      <c r="B19">
        <v>18</v>
      </c>
      <c r="C19" t="s">
        <v>12</v>
      </c>
      <c r="D19" t="s">
        <v>3</v>
      </c>
      <c r="E19">
        <v>3</v>
      </c>
      <c r="F19">
        <v>16</v>
      </c>
      <c r="G19">
        <v>48</v>
      </c>
      <c r="H19">
        <v>24</v>
      </c>
      <c r="I19">
        <v>0</v>
      </c>
      <c r="J19">
        <v>1</v>
      </c>
      <c r="K19">
        <v>0</v>
      </c>
      <c r="L19">
        <v>0</v>
      </c>
      <c r="M19">
        <v>28</v>
      </c>
      <c r="N19">
        <v>27</v>
      </c>
      <c r="O19">
        <v>14</v>
      </c>
      <c r="P19">
        <v>0</v>
      </c>
      <c r="Q19">
        <v>2</v>
      </c>
      <c r="R19">
        <v>0</v>
      </c>
      <c r="S19">
        <v>6</v>
      </c>
      <c r="T19">
        <v>7</v>
      </c>
      <c r="U19">
        <v>11</v>
      </c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5"/>
    </row>
    <row r="20" spans="1:68">
      <c r="A20">
        <v>18</v>
      </c>
      <c r="B20">
        <v>19</v>
      </c>
      <c r="C20" t="s">
        <v>59</v>
      </c>
      <c r="D20" t="s">
        <v>40</v>
      </c>
      <c r="E20">
        <v>5</v>
      </c>
      <c r="F20">
        <v>91</v>
      </c>
      <c r="G20">
        <v>51</v>
      </c>
      <c r="H20">
        <v>0</v>
      </c>
      <c r="I20">
        <v>0</v>
      </c>
      <c r="J20">
        <v>26</v>
      </c>
      <c r="K20">
        <v>0</v>
      </c>
      <c r="L20">
        <v>0</v>
      </c>
      <c r="M20">
        <v>70</v>
      </c>
      <c r="N20">
        <v>13</v>
      </c>
      <c r="O20">
        <v>11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5"/>
    </row>
    <row r="21" spans="1:68">
      <c r="A21">
        <v>19</v>
      </c>
      <c r="B21">
        <v>20</v>
      </c>
      <c r="C21" t="s">
        <v>60</v>
      </c>
      <c r="D21" t="s">
        <v>45</v>
      </c>
      <c r="E21">
        <v>9</v>
      </c>
      <c r="F21">
        <v>637</v>
      </c>
      <c r="G21">
        <v>3699</v>
      </c>
      <c r="H21">
        <v>336</v>
      </c>
      <c r="I21">
        <v>286</v>
      </c>
      <c r="J21">
        <v>519</v>
      </c>
      <c r="K21">
        <v>114</v>
      </c>
      <c r="L21">
        <v>161</v>
      </c>
      <c r="M21">
        <v>326</v>
      </c>
      <c r="N21">
        <v>1255</v>
      </c>
      <c r="O21">
        <v>4984</v>
      </c>
      <c r="P21">
        <v>75</v>
      </c>
      <c r="Q21">
        <v>565</v>
      </c>
      <c r="R21">
        <v>188</v>
      </c>
      <c r="S21">
        <v>1194</v>
      </c>
      <c r="T21">
        <v>80</v>
      </c>
      <c r="U21">
        <v>1375</v>
      </c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5"/>
    </row>
    <row r="22" spans="1:68">
      <c r="A22">
        <v>20</v>
      </c>
      <c r="B22">
        <v>21</v>
      </c>
      <c r="C22" t="s">
        <v>61</v>
      </c>
      <c r="D22" t="s">
        <v>43</v>
      </c>
      <c r="E22">
        <v>1</v>
      </c>
      <c r="F22">
        <v>442</v>
      </c>
      <c r="G22">
        <v>2253</v>
      </c>
      <c r="H22">
        <v>60</v>
      </c>
      <c r="I22">
        <v>211</v>
      </c>
      <c r="J22">
        <v>127</v>
      </c>
      <c r="K22">
        <v>17</v>
      </c>
      <c r="L22">
        <v>34</v>
      </c>
      <c r="M22">
        <v>153</v>
      </c>
      <c r="N22">
        <v>317</v>
      </c>
      <c r="O22">
        <v>2517</v>
      </c>
      <c r="P22">
        <v>180</v>
      </c>
      <c r="Q22">
        <v>512</v>
      </c>
      <c r="R22">
        <v>194</v>
      </c>
      <c r="S22">
        <v>585</v>
      </c>
      <c r="T22">
        <v>17</v>
      </c>
      <c r="U22">
        <v>498</v>
      </c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5"/>
    </row>
    <row r="23" spans="1:68">
      <c r="A23">
        <v>21</v>
      </c>
      <c r="B23">
        <v>22</v>
      </c>
      <c r="C23" t="s">
        <v>62</v>
      </c>
      <c r="D23" t="s">
        <v>63</v>
      </c>
      <c r="E23">
        <v>6</v>
      </c>
      <c r="F23">
        <v>915</v>
      </c>
      <c r="G23">
        <v>11395</v>
      </c>
      <c r="H23">
        <v>102</v>
      </c>
      <c r="I23">
        <v>1157</v>
      </c>
      <c r="J23">
        <v>656</v>
      </c>
      <c r="K23">
        <v>2</v>
      </c>
      <c r="L23">
        <v>176</v>
      </c>
      <c r="M23">
        <v>1803</v>
      </c>
      <c r="N23">
        <v>673</v>
      </c>
      <c r="O23">
        <v>13358</v>
      </c>
      <c r="P23">
        <v>0</v>
      </c>
      <c r="Q23">
        <v>981</v>
      </c>
      <c r="R23">
        <v>217</v>
      </c>
      <c r="S23">
        <v>1345</v>
      </c>
      <c r="T23">
        <v>222</v>
      </c>
      <c r="U23">
        <v>5012</v>
      </c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5"/>
    </row>
    <row r="24" spans="1:68">
      <c r="A24">
        <v>22</v>
      </c>
      <c r="B24">
        <v>23</v>
      </c>
      <c r="C24" t="s">
        <v>64</v>
      </c>
      <c r="D24" t="s">
        <v>40</v>
      </c>
      <c r="E24">
        <v>5</v>
      </c>
      <c r="F24">
        <v>8</v>
      </c>
      <c r="G24">
        <v>28</v>
      </c>
      <c r="H24">
        <v>0</v>
      </c>
      <c r="I24">
        <v>0</v>
      </c>
      <c r="J24">
        <v>0</v>
      </c>
      <c r="K24">
        <v>0</v>
      </c>
      <c r="L24">
        <v>0</v>
      </c>
      <c r="M24">
        <v>51</v>
      </c>
      <c r="N24">
        <v>12</v>
      </c>
      <c r="O24">
        <v>45</v>
      </c>
      <c r="P24">
        <v>0</v>
      </c>
      <c r="Q24">
        <v>20</v>
      </c>
      <c r="R24">
        <v>0</v>
      </c>
      <c r="S24">
        <v>17</v>
      </c>
      <c r="T24">
        <v>0</v>
      </c>
      <c r="U24">
        <v>0</v>
      </c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5"/>
    </row>
    <row r="25" spans="1:68">
      <c r="A25">
        <v>23</v>
      </c>
      <c r="B25">
        <v>24</v>
      </c>
      <c r="C25" t="s">
        <v>65</v>
      </c>
      <c r="D25" t="s">
        <v>38</v>
      </c>
      <c r="E25">
        <v>2</v>
      </c>
      <c r="F25">
        <v>1416</v>
      </c>
      <c r="G25">
        <v>28804</v>
      </c>
      <c r="H25">
        <v>2171</v>
      </c>
      <c r="I25">
        <v>1869</v>
      </c>
      <c r="J25">
        <v>1529</v>
      </c>
      <c r="K25">
        <v>451</v>
      </c>
      <c r="L25">
        <v>161</v>
      </c>
      <c r="M25">
        <v>6874</v>
      </c>
      <c r="N25">
        <v>531</v>
      </c>
      <c r="O25">
        <v>47055</v>
      </c>
      <c r="P25">
        <v>1004</v>
      </c>
      <c r="Q25">
        <v>3209</v>
      </c>
      <c r="R25">
        <v>2367</v>
      </c>
      <c r="S25">
        <v>7155</v>
      </c>
      <c r="T25">
        <v>671</v>
      </c>
      <c r="U25">
        <v>4866</v>
      </c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5"/>
    </row>
    <row r="26" spans="1:68">
      <c r="A26">
        <v>24</v>
      </c>
      <c r="B26">
        <v>25</v>
      </c>
      <c r="C26" t="s">
        <v>66</v>
      </c>
      <c r="D26" t="s">
        <v>45</v>
      </c>
      <c r="E26">
        <v>9</v>
      </c>
      <c r="F26">
        <v>968</v>
      </c>
      <c r="G26">
        <v>6266</v>
      </c>
      <c r="H26">
        <v>526</v>
      </c>
      <c r="I26">
        <v>232</v>
      </c>
      <c r="J26">
        <v>570</v>
      </c>
      <c r="K26">
        <v>22</v>
      </c>
      <c r="L26">
        <v>157</v>
      </c>
      <c r="M26">
        <v>4065</v>
      </c>
      <c r="N26">
        <v>202</v>
      </c>
      <c r="O26">
        <v>13615</v>
      </c>
      <c r="P26">
        <v>52</v>
      </c>
      <c r="Q26">
        <v>156</v>
      </c>
      <c r="R26">
        <v>37</v>
      </c>
      <c r="S26">
        <v>539</v>
      </c>
      <c r="T26">
        <v>14</v>
      </c>
      <c r="U26">
        <v>1301</v>
      </c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5"/>
    </row>
    <row r="27" spans="1:68">
      <c r="A27">
        <v>25</v>
      </c>
      <c r="B27">
        <v>26</v>
      </c>
      <c r="C27" t="s">
        <v>13</v>
      </c>
      <c r="D27" t="s">
        <v>3</v>
      </c>
      <c r="E27">
        <v>3</v>
      </c>
      <c r="F27">
        <v>12</v>
      </c>
      <c r="G27">
        <v>499</v>
      </c>
      <c r="H27">
        <v>0</v>
      </c>
      <c r="I27">
        <v>7</v>
      </c>
      <c r="J27">
        <v>29</v>
      </c>
      <c r="K27">
        <v>1</v>
      </c>
      <c r="L27">
        <v>0</v>
      </c>
      <c r="M27">
        <v>0</v>
      </c>
      <c r="N27">
        <v>5</v>
      </c>
      <c r="O27">
        <v>413</v>
      </c>
      <c r="P27">
        <v>0</v>
      </c>
      <c r="Q27">
        <v>15</v>
      </c>
      <c r="R27">
        <v>0</v>
      </c>
      <c r="S27">
        <v>56</v>
      </c>
      <c r="T27">
        <v>0</v>
      </c>
      <c r="U27">
        <v>28</v>
      </c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5"/>
    </row>
    <row r="28" spans="1:68">
      <c r="A28">
        <v>26</v>
      </c>
      <c r="B28">
        <v>27</v>
      </c>
      <c r="C28" t="s">
        <v>67</v>
      </c>
      <c r="D28" t="s">
        <v>43</v>
      </c>
      <c r="E28">
        <v>1</v>
      </c>
      <c r="F28">
        <v>508</v>
      </c>
      <c r="G28">
        <v>94</v>
      </c>
      <c r="H28">
        <v>15</v>
      </c>
      <c r="I28">
        <v>69</v>
      </c>
      <c r="J28">
        <v>99</v>
      </c>
      <c r="K28">
        <v>7</v>
      </c>
      <c r="L28">
        <v>0</v>
      </c>
      <c r="M28">
        <v>72</v>
      </c>
      <c r="N28">
        <v>40</v>
      </c>
      <c r="O28">
        <v>736</v>
      </c>
      <c r="P28">
        <v>0</v>
      </c>
      <c r="Q28">
        <v>105</v>
      </c>
      <c r="R28">
        <v>0</v>
      </c>
      <c r="S28">
        <v>132</v>
      </c>
      <c r="T28">
        <v>0</v>
      </c>
      <c r="U28">
        <v>70</v>
      </c>
      <c r="BD28" s="3"/>
      <c r="BE28" s="3"/>
      <c r="BF28" s="3"/>
      <c r="BG28" s="3"/>
      <c r="BH28" s="3"/>
      <c r="BI28" s="3"/>
      <c r="BJ28" s="4"/>
      <c r="BK28" s="3"/>
      <c r="BL28" s="3"/>
      <c r="BM28" s="3"/>
      <c r="BN28" s="3"/>
      <c r="BO28" s="3"/>
      <c r="BP28" s="5"/>
    </row>
    <row r="29" spans="1:68">
      <c r="A29">
        <v>27</v>
      </c>
      <c r="B29">
        <v>28</v>
      </c>
      <c r="C29" t="s">
        <v>68</v>
      </c>
      <c r="D29" t="s">
        <v>43</v>
      </c>
      <c r="E29">
        <v>1</v>
      </c>
      <c r="F29">
        <v>1232</v>
      </c>
      <c r="G29">
        <v>2561</v>
      </c>
      <c r="H29">
        <v>392</v>
      </c>
      <c r="I29">
        <v>362</v>
      </c>
      <c r="J29">
        <v>763</v>
      </c>
      <c r="K29">
        <v>115</v>
      </c>
      <c r="L29">
        <v>238</v>
      </c>
      <c r="M29">
        <v>1915</v>
      </c>
      <c r="N29">
        <v>4633</v>
      </c>
      <c r="O29">
        <v>10184</v>
      </c>
      <c r="P29">
        <v>632</v>
      </c>
      <c r="Q29">
        <v>2560</v>
      </c>
      <c r="R29">
        <v>1123</v>
      </c>
      <c r="S29">
        <v>3937</v>
      </c>
      <c r="T29">
        <v>1121</v>
      </c>
      <c r="U29">
        <v>4093</v>
      </c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5"/>
    </row>
    <row r="30" spans="1:68">
      <c r="A30">
        <v>28</v>
      </c>
      <c r="B30">
        <v>29</v>
      </c>
      <c r="C30" t="s">
        <v>14</v>
      </c>
      <c r="D30" t="s">
        <v>3</v>
      </c>
      <c r="E30">
        <v>3</v>
      </c>
      <c r="F30">
        <v>0</v>
      </c>
      <c r="G30">
        <v>3339</v>
      </c>
      <c r="H30">
        <v>257</v>
      </c>
      <c r="I30">
        <v>179</v>
      </c>
      <c r="J30">
        <v>205</v>
      </c>
      <c r="K30">
        <v>106</v>
      </c>
      <c r="L30">
        <v>49</v>
      </c>
      <c r="M30">
        <v>1356</v>
      </c>
      <c r="N30">
        <v>462</v>
      </c>
      <c r="O30">
        <v>1473</v>
      </c>
      <c r="P30">
        <v>90</v>
      </c>
      <c r="Q30">
        <v>93</v>
      </c>
      <c r="R30">
        <v>53</v>
      </c>
      <c r="S30">
        <v>122</v>
      </c>
      <c r="T30">
        <v>22</v>
      </c>
      <c r="U30">
        <v>6915</v>
      </c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5"/>
    </row>
    <row r="31" spans="1:68">
      <c r="A31">
        <v>29</v>
      </c>
      <c r="B31">
        <v>30</v>
      </c>
      <c r="C31" t="s">
        <v>69</v>
      </c>
      <c r="D31" t="s">
        <v>70</v>
      </c>
      <c r="E31">
        <v>7</v>
      </c>
      <c r="F31">
        <v>25</v>
      </c>
      <c r="G31">
        <v>94</v>
      </c>
      <c r="H31">
        <v>7</v>
      </c>
      <c r="I31">
        <v>20</v>
      </c>
      <c r="J31">
        <v>11</v>
      </c>
      <c r="K31">
        <v>0</v>
      </c>
      <c r="L31">
        <v>0</v>
      </c>
      <c r="M31">
        <v>0</v>
      </c>
      <c r="N31">
        <v>27</v>
      </c>
      <c r="O31">
        <v>124</v>
      </c>
      <c r="P31">
        <v>2</v>
      </c>
      <c r="Q31">
        <v>31</v>
      </c>
      <c r="R31">
        <v>0</v>
      </c>
      <c r="S31">
        <v>15</v>
      </c>
      <c r="T31">
        <v>0</v>
      </c>
      <c r="U31">
        <v>39</v>
      </c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5"/>
    </row>
    <row r="32" spans="1:68">
      <c r="A32">
        <v>30</v>
      </c>
      <c r="B32">
        <v>31</v>
      </c>
      <c r="C32" t="s">
        <v>71</v>
      </c>
      <c r="D32" t="s">
        <v>43</v>
      </c>
      <c r="E32">
        <v>1</v>
      </c>
      <c r="F32">
        <v>11</v>
      </c>
      <c r="G32">
        <v>160</v>
      </c>
      <c r="H32">
        <v>83</v>
      </c>
      <c r="I32">
        <v>25</v>
      </c>
      <c r="J32">
        <v>17</v>
      </c>
      <c r="K32">
        <v>0</v>
      </c>
      <c r="L32">
        <v>0</v>
      </c>
      <c r="M32">
        <v>7</v>
      </c>
      <c r="N32">
        <v>9</v>
      </c>
      <c r="O32">
        <v>380</v>
      </c>
      <c r="P32">
        <v>10</v>
      </c>
      <c r="Q32">
        <v>17</v>
      </c>
      <c r="R32">
        <v>5</v>
      </c>
      <c r="S32">
        <v>0</v>
      </c>
      <c r="T32">
        <v>0</v>
      </c>
      <c r="U32">
        <v>7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5"/>
    </row>
    <row r="33" spans="1:68">
      <c r="A33">
        <v>31</v>
      </c>
      <c r="B33">
        <v>32</v>
      </c>
      <c r="C33" t="s">
        <v>72</v>
      </c>
      <c r="D33" t="s">
        <v>47</v>
      </c>
      <c r="E33">
        <v>4</v>
      </c>
      <c r="F33">
        <v>1</v>
      </c>
      <c r="G33">
        <v>21</v>
      </c>
      <c r="H33">
        <v>0</v>
      </c>
      <c r="I33">
        <v>0</v>
      </c>
      <c r="J33">
        <v>0</v>
      </c>
      <c r="K33">
        <v>0</v>
      </c>
      <c r="L33">
        <v>0</v>
      </c>
      <c r="M33">
        <v>65</v>
      </c>
      <c r="N33">
        <v>0</v>
      </c>
      <c r="O33">
        <v>8</v>
      </c>
      <c r="P33">
        <v>0</v>
      </c>
      <c r="Q33">
        <v>5</v>
      </c>
      <c r="R33">
        <v>0</v>
      </c>
      <c r="S33">
        <v>5</v>
      </c>
      <c r="T33">
        <v>2</v>
      </c>
      <c r="U33">
        <v>4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5"/>
    </row>
    <row r="34" spans="1:68">
      <c r="A34">
        <v>32</v>
      </c>
      <c r="B34">
        <v>33</v>
      </c>
      <c r="C34" t="s">
        <v>73</v>
      </c>
      <c r="D34" t="s">
        <v>47</v>
      </c>
      <c r="E34">
        <v>4</v>
      </c>
      <c r="F34">
        <v>0</v>
      </c>
      <c r="G34">
        <v>21</v>
      </c>
      <c r="H34">
        <v>2</v>
      </c>
      <c r="I34">
        <v>2</v>
      </c>
      <c r="J34">
        <v>1</v>
      </c>
      <c r="K34">
        <v>0</v>
      </c>
      <c r="L34">
        <v>0</v>
      </c>
      <c r="M34">
        <v>10</v>
      </c>
      <c r="N34">
        <v>7</v>
      </c>
      <c r="O34">
        <v>29</v>
      </c>
      <c r="P34">
        <v>0</v>
      </c>
      <c r="Q34">
        <v>2</v>
      </c>
      <c r="R34">
        <v>0</v>
      </c>
      <c r="S34">
        <v>2</v>
      </c>
      <c r="T34">
        <v>1</v>
      </c>
      <c r="U34">
        <v>27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7"/>
    </row>
    <row r="35" spans="1:68">
      <c r="A35">
        <v>33</v>
      </c>
      <c r="B35">
        <v>34</v>
      </c>
      <c r="C35" t="s">
        <v>74</v>
      </c>
      <c r="D35" t="s">
        <v>43</v>
      </c>
      <c r="E35">
        <v>1</v>
      </c>
      <c r="F35">
        <v>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164</v>
      </c>
      <c r="O35">
        <v>1696</v>
      </c>
      <c r="P35">
        <v>229</v>
      </c>
      <c r="Q35">
        <v>131</v>
      </c>
      <c r="R35">
        <v>129</v>
      </c>
      <c r="S35">
        <v>211</v>
      </c>
      <c r="T35">
        <v>0</v>
      </c>
      <c r="U35">
        <v>2838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7"/>
    </row>
    <row r="36" spans="1:68">
      <c r="A36">
        <v>34</v>
      </c>
      <c r="B36">
        <v>35</v>
      </c>
      <c r="C36" t="s">
        <v>75</v>
      </c>
      <c r="D36" t="s">
        <v>76</v>
      </c>
      <c r="E36">
        <v>8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7"/>
    </row>
    <row r="37" spans="1:68">
      <c r="A37">
        <v>35</v>
      </c>
      <c r="B37">
        <v>36</v>
      </c>
      <c r="C37" t="s">
        <v>77</v>
      </c>
      <c r="D37" t="s">
        <v>38</v>
      </c>
      <c r="E37">
        <v>2</v>
      </c>
      <c r="F37">
        <v>73</v>
      </c>
      <c r="G37">
        <v>250</v>
      </c>
      <c r="H37">
        <v>136</v>
      </c>
      <c r="I37">
        <v>0</v>
      </c>
      <c r="J37">
        <v>8</v>
      </c>
      <c r="K37">
        <v>12</v>
      </c>
      <c r="L37">
        <v>15</v>
      </c>
      <c r="M37">
        <v>417</v>
      </c>
      <c r="N37">
        <v>82</v>
      </c>
      <c r="O37">
        <v>1297</v>
      </c>
      <c r="P37">
        <v>9</v>
      </c>
      <c r="Q37">
        <v>90</v>
      </c>
      <c r="R37">
        <v>0</v>
      </c>
      <c r="S37">
        <v>71</v>
      </c>
      <c r="T37">
        <v>0</v>
      </c>
      <c r="U37">
        <v>193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7"/>
    </row>
    <row r="38" spans="1:68"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7"/>
    </row>
    <row r="39" spans="1:68"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7"/>
    </row>
    <row r="40" spans="1:68"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7"/>
    </row>
    <row r="41" spans="1:68"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7"/>
    </row>
    <row r="42" spans="1:68"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7"/>
    </row>
    <row r="43" spans="1:68">
      <c r="BD43" s="6"/>
      <c r="BE43" s="6"/>
      <c r="BF43" s="6"/>
      <c r="BG43" s="6"/>
      <c r="BH43" s="6"/>
      <c r="BI43" s="6"/>
      <c r="BJ43" s="6"/>
      <c r="BK43" s="6"/>
      <c r="BL43" s="6"/>
      <c r="BM43" s="6" t="s">
        <v>78</v>
      </c>
      <c r="BN43" s="6"/>
      <c r="BO43" s="6"/>
      <c r="BP43" s="7"/>
    </row>
    <row r="44" spans="1:68"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7"/>
    </row>
    <row r="45" spans="1:68"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7"/>
    </row>
    <row r="46" spans="1:68"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7"/>
    </row>
    <row r="47" spans="1:68"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7"/>
    </row>
    <row r="48" spans="1:68"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7"/>
    </row>
    <row r="49" spans="56:68"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7"/>
    </row>
    <row r="50" spans="56:68"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7"/>
    </row>
    <row r="51" spans="56:68"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7"/>
    </row>
    <row r="52" spans="56:68"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7"/>
    </row>
  </sheetData>
  <mergeCells count="1">
    <mergeCell ref="BD1:BP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2026-09-15T16:24:48Z</dcterms:created>
  <dcterms:modified xsi:type="dcterms:W3CDTF">2026-09-18T05:56:01Z</dcterms:modified>
  <cp:category/>
  <cp:contentStatus/>
</cp:coreProperties>
</file>