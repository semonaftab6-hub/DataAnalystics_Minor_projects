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33" documentId="11_0B1D56BE9CDCCE836B02CE7A5FB0D4A9BBFD1C62" xr6:coauthVersionLast="47" xr6:coauthVersionMax="47" xr10:uidLastSave="{4FD0C7B2-618B-4115-9BA9-D81A270EC7A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43" i="1" l="1"/>
  <c r="D35" i="1" a="1"/>
  <c r="D35" i="1"/>
  <c r="D26" i="1" a="1"/>
  <c r="D26" i="1"/>
  <c r="D17" i="1" a="1"/>
  <c r="D17" i="1"/>
  <c r="D16" i="1"/>
  <c r="D15" i="1"/>
  <c r="D10" i="1"/>
  <c r="D9" i="1"/>
  <c r="D8" i="1"/>
  <c r="D7" i="1"/>
  <c r="D6" i="1"/>
  <c r="D5" i="1"/>
  <c r="D4" i="1"/>
  <c r="D3" i="1"/>
  <c r="D2" i="1"/>
  <c r="D13" i="1" l="1"/>
  <c r="D14" i="1"/>
  <c r="D11" i="1"/>
  <c r="D12" i="1"/>
  <c r="G2" i="1"/>
  <c r="F2" i="1"/>
  <c r="G3" i="1"/>
  <c r="F3" i="1"/>
  <c r="G4" i="1"/>
  <c r="F4" i="1"/>
  <c r="G5" i="1"/>
  <c r="F5" i="1"/>
  <c r="G6" i="1"/>
  <c r="F6" i="1"/>
  <c r="G7" i="1"/>
  <c r="F7" i="1"/>
  <c r="G8" i="1"/>
  <c r="F8" i="1"/>
  <c r="G9" i="1"/>
  <c r="F9" i="1"/>
  <c r="G10" i="1"/>
  <c r="F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<sst xmlns="http://schemas.openxmlformats.org/spreadsheetml/2006/main" count="44" uniqueCount="33">
  <si>
    <t xml:space="preserve">  Name</t>
  </si>
  <si>
    <t>Tech</t>
  </si>
  <si>
    <t>Course</t>
  </si>
  <si>
    <t>Marks</t>
  </si>
  <si>
    <t>Total Marks</t>
  </si>
  <si>
    <t>Percentage</t>
  </si>
  <si>
    <t>Result</t>
  </si>
  <si>
    <t>Semon</t>
  </si>
  <si>
    <t>Python</t>
  </si>
  <si>
    <t>MCA AI</t>
  </si>
  <si>
    <t>Aish</t>
  </si>
  <si>
    <t>C</t>
  </si>
  <si>
    <t xml:space="preserve">          Ali</t>
  </si>
  <si>
    <t>C Sharp</t>
  </si>
  <si>
    <t>Arham</t>
  </si>
  <si>
    <t>Java</t>
  </si>
  <si>
    <t>Koyal</t>
  </si>
  <si>
    <t>DA</t>
  </si>
  <si>
    <t>Amit</t>
  </si>
  <si>
    <t>Shruti</t>
  </si>
  <si>
    <t xml:space="preserve">C </t>
  </si>
  <si>
    <t>Pragya</t>
  </si>
  <si>
    <t>Parul</t>
  </si>
  <si>
    <t>sum</t>
  </si>
  <si>
    <t>Average</t>
  </si>
  <si>
    <t>Min</t>
  </si>
  <si>
    <t>Max</t>
  </si>
  <si>
    <t>trim</t>
  </si>
  <si>
    <t>concat</t>
  </si>
  <si>
    <t>lower</t>
  </si>
  <si>
    <t>upper</t>
  </si>
  <si>
    <t>proper</t>
  </si>
  <si>
    <t>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</si>
</sst>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6B396-FFD4-4346-B61F-C0606672D8CB}" name="Table1" displayName="Table1" ref="A1:G11" totalsRowCount="1">
  <autoFilter ref="A1:G10" xr:uid="{2916B396-FFD4-4346-B61F-C0606672D8CB}"/>
  <tableColumns count="7">
    <tableColumn id="1" xr3:uid="{E4D94CCD-FE7D-40FE-BF63-48738D5CDF96}" name="  Name"/>
    <tableColumn id="2" xr3:uid="{C9420618-844D-496B-8A6A-BFF72FFD5E25}" name="Tech"/>
    <tableColumn id="3" xr3:uid="{0013E869-880A-4359-B59B-F40C797D5EE2}" name="Course" totalsRowLabel="sum"/>
    <tableColumn id="4" xr3:uid="{BA81CB54-6C4E-4780-BB7C-8C355773E636}" name="Marks" totalsRowFunction="custom">
      <calculatedColumnFormula>RANDBETWEEN(1,90)</calculatedColumnFormula>
      <totalsRowFormula>SUM(Table1[Marks])</totalsRowFormula>
    </tableColumn>
    <tableColumn id="5" xr3:uid="{B924191E-540C-4A6D-8172-E7DADAE8AD3A}" name="Total Marks"/>
    <tableColumn id="6" xr3:uid="{08A9D743-E4D6-4DC5-BEAE-43F9236FDEB0}" name="Percentage">
      <calculatedColumnFormula>D2/E2*100</calculatedColumnFormula>
    </tableColumn>
    <tableColumn id="7" xr3:uid="{BB2760BA-036F-4C10-8ABA-1788F98F736A}" name="Result">
      <calculatedColumnFormula>IF(D2&gt;33,"Pass","Fail")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32" workbookViewId="0">
      <selection activeCell="C44" sqref="C44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f ca="1">RANDBETWEEN(1,90)</f>
        <v>10</v>
      </c>
      <c r="E2">
        <v>100</v>
      </c>
      <c r="F2">
        <f ca="1">D2/E2*100</f>
        <v>10</v>
      </c>
      <c r="G2" t="str">
        <f ca="1">IF(D2&gt;33,"Pass","Fail")</f>
        <v>Fail</v>
      </c>
    </row>
    <row r="3" spans="1:7">
      <c r="A3" t="s">
        <v>10</v>
      </c>
      <c r="B3" t="s">
        <v>11</v>
      </c>
      <c r="C3" t="s">
        <v>9</v>
      </c>
      <c r="D3">
        <f t="shared" ref="D3:D10" ca="1" si="0">RANDBETWEEN(1,90)</f>
        <v>19</v>
      </c>
      <c r="E3">
        <v>100</v>
      </c>
      <c r="F3">
        <f t="shared" ref="F3:F10" ca="1" si="1">D3/E3*100</f>
        <v>19</v>
      </c>
      <c r="G3" t="str">
        <f t="shared" ref="G3:G10" ca="1" si="2">IF(D3&gt;33,"Pass","Fail")</f>
        <v>Fail</v>
      </c>
    </row>
    <row r="4" spans="1:7">
      <c r="A4" t="s">
        <v>12</v>
      </c>
      <c r="B4" t="s">
        <v>13</v>
      </c>
      <c r="C4" t="s">
        <v>9</v>
      </c>
      <c r="D4">
        <f t="shared" ca="1" si="0"/>
        <v>56</v>
      </c>
      <c r="E4">
        <v>100</v>
      </c>
      <c r="F4">
        <f t="shared" ca="1" si="1"/>
        <v>56.000000000000007</v>
      </c>
      <c r="G4" t="str">
        <f t="shared" ca="1" si="2"/>
        <v>Pass</v>
      </c>
    </row>
    <row r="5" spans="1:7">
      <c r="A5" t="s">
        <v>14</v>
      </c>
      <c r="B5" t="s">
        <v>15</v>
      </c>
      <c r="C5" t="s">
        <v>9</v>
      </c>
      <c r="D5">
        <f t="shared" ca="1" si="0"/>
        <v>60</v>
      </c>
      <c r="E5">
        <v>100</v>
      </c>
      <c r="F5">
        <f t="shared" ca="1" si="1"/>
        <v>60</v>
      </c>
      <c r="G5" t="str">
        <f t="shared" ca="1" si="2"/>
        <v>Pass</v>
      </c>
    </row>
    <row r="6" spans="1:7">
      <c r="A6" t="s">
        <v>16</v>
      </c>
      <c r="B6" t="s">
        <v>17</v>
      </c>
      <c r="C6" t="s">
        <v>9</v>
      </c>
      <c r="D6">
        <f t="shared" ca="1" si="0"/>
        <v>61</v>
      </c>
      <c r="E6">
        <v>100</v>
      </c>
      <c r="F6">
        <f t="shared" ca="1" si="1"/>
        <v>61</v>
      </c>
      <c r="G6" t="str">
        <f t="shared" ca="1" si="2"/>
        <v>Pass</v>
      </c>
    </row>
    <row r="7" spans="1:7">
      <c r="A7" t="s">
        <v>18</v>
      </c>
      <c r="B7" t="s">
        <v>8</v>
      </c>
      <c r="C7" t="s">
        <v>9</v>
      </c>
      <c r="D7">
        <f t="shared" ca="1" si="0"/>
        <v>23</v>
      </c>
      <c r="E7">
        <v>100</v>
      </c>
      <c r="F7">
        <f t="shared" ca="1" si="1"/>
        <v>23</v>
      </c>
      <c r="G7" t="str">
        <f t="shared" ca="1" si="2"/>
        <v>Fail</v>
      </c>
    </row>
    <row r="8" spans="1:7">
      <c r="A8" t="s">
        <v>19</v>
      </c>
      <c r="B8" t="s">
        <v>20</v>
      </c>
      <c r="C8" t="s">
        <v>9</v>
      </c>
      <c r="D8">
        <f t="shared" ca="1" si="0"/>
        <v>54</v>
      </c>
      <c r="E8">
        <v>100</v>
      </c>
      <c r="F8">
        <f t="shared" ca="1" si="1"/>
        <v>54</v>
      </c>
      <c r="G8" t="str">
        <f t="shared" ca="1" si="2"/>
        <v>Pass</v>
      </c>
    </row>
    <row r="9" spans="1:7">
      <c r="A9" t="s">
        <v>21</v>
      </c>
      <c r="B9" t="s">
        <v>20</v>
      </c>
      <c r="C9" t="s">
        <v>9</v>
      </c>
      <c r="D9">
        <f t="shared" ca="1" si="0"/>
        <v>62</v>
      </c>
      <c r="E9">
        <v>100</v>
      </c>
      <c r="F9">
        <f t="shared" ca="1" si="1"/>
        <v>62</v>
      </c>
      <c r="G9" t="str">
        <f t="shared" ca="1" si="2"/>
        <v>Pass</v>
      </c>
    </row>
    <row r="10" spans="1:7">
      <c r="A10" t="s">
        <v>22</v>
      </c>
      <c r="B10" t="s">
        <v>15</v>
      </c>
      <c r="C10" t="s">
        <v>9</v>
      </c>
      <c r="D10">
        <f t="shared" ca="1" si="0"/>
        <v>3</v>
      </c>
      <c r="E10">
        <v>100</v>
      </c>
      <c r="F10">
        <f t="shared" ca="1" si="1"/>
        <v>3</v>
      </c>
      <c r="G10" t="str">
        <f t="shared" ca="1" si="2"/>
        <v>Fail</v>
      </c>
    </row>
    <row r="11" spans="1:7">
      <c r="C11" t="s">
        <v>23</v>
      </c>
      <c r="D11">
        <f ca="1">SUM(Table1[Marks])</f>
        <v>348</v>
      </c>
    </row>
    <row r="12" spans="1:7">
      <c r="C12" t="s">
        <v>24</v>
      </c>
      <c r="D12">
        <f ca="1">AVERAGE(Table1[Marks])</f>
        <v>38.666666666666664</v>
      </c>
    </row>
    <row r="13" spans="1:7">
      <c r="C13" t="s">
        <v>25</v>
      </c>
      <c r="D13">
        <f ca="1">MIN(Table1[Marks])</f>
        <v>3</v>
      </c>
    </row>
    <row r="14" spans="1:7">
      <c r="C14" t="s">
        <v>26</v>
      </c>
      <c r="D14">
        <f ca="1">MAX(Table1[Marks])</f>
        <v>62</v>
      </c>
    </row>
    <row r="15" spans="1:7">
      <c r="C15" t="s">
        <v>27</v>
      </c>
      <c r="D15" t="str">
        <f>TRIM(A4)</f>
        <v>Ali</v>
      </c>
    </row>
    <row r="16" spans="1:7">
      <c r="C16" t="s">
        <v>28</v>
      </c>
      <c r="D16" t="str">
        <f>_xlfn.CONCAT(A2:C2)</f>
        <v>SemonPythonMCA AI</v>
      </c>
    </row>
    <row r="17" spans="3:4">
      <c r="C17" t="s">
        <v>29</v>
      </c>
      <c r="D17" t="str" cm="1">
        <f t="array" ref="D17:D25">LOWER(Table1[ [  Name] ])</f>
        <v>semon</v>
      </c>
    </row>
    <row r="18" spans="3:4">
      <c r="D18" t="str">
        <v>aish</v>
      </c>
    </row>
    <row r="19" spans="3:4">
      <c r="D19" t="str">
        <v xml:space="preserve">          ali</v>
      </c>
    </row>
    <row r="20" spans="3:4">
      <c r="D20" t="str">
        <v>arham</v>
      </c>
    </row>
    <row r="21" spans="3:4">
      <c r="D21" t="str">
        <v>koyal</v>
      </c>
    </row>
    <row r="22" spans="3:4">
      <c r="D22" t="str">
        <v>amit</v>
      </c>
    </row>
    <row r="23" spans="3:4">
      <c r="D23" t="str">
        <v>shruti</v>
      </c>
    </row>
    <row r="24" spans="3:4">
      <c r="D24" t="str">
        <v>pragya</v>
      </c>
    </row>
    <row r="25" spans="3:4">
      <c r="D25" t="str">
        <v>parul</v>
      </c>
    </row>
    <row r="26" spans="3:4">
      <c r="C26" t="s">
        <v>30</v>
      </c>
      <c r="D26" t="str" cm="1">
        <f t="array" ref="D26:D34">UPPER(Table1[ [  Name] ])</f>
        <v>SEMON</v>
      </c>
    </row>
    <row r="27" spans="3:4">
      <c r="D27" t="str">
        <v>AISH</v>
      </c>
    </row>
    <row r="28" spans="3:4">
      <c r="D28" t="str">
        <v xml:space="preserve">          ALI</v>
      </c>
    </row>
    <row r="29" spans="3:4">
      <c r="D29" t="str">
        <v>ARHAM</v>
      </c>
    </row>
    <row r="30" spans="3:4">
      <c r="D30" t="str">
        <v>KOYAL</v>
      </c>
    </row>
    <row r="31" spans="3:4">
      <c r="D31" t="str">
        <v>AMIT</v>
      </c>
    </row>
    <row r="32" spans="3:4">
      <c r="D32" t="str">
        <v>SHRUTI</v>
      </c>
    </row>
    <row r="33" spans="3:4">
      <c r="D33" t="str">
        <v>PRAGYA</v>
      </c>
    </row>
    <row r="34" spans="3:4">
      <c r="D34" t="str">
        <v>PARUL</v>
      </c>
    </row>
    <row r="35" spans="3:4">
      <c r="C35" t="s">
        <v>31</v>
      </c>
      <c r="D35" t="str" cm="1">
        <f t="array" ref="D35:D42">PROPER(D17:D24)</f>
        <v>Semon</v>
      </c>
    </row>
    <row r="36" spans="3:4">
      <c r="D36" t="str">
        <v>Aish</v>
      </c>
    </row>
    <row r="37" spans="3:4">
      <c r="D37" t="str">
        <v xml:space="preserve">          Ali</v>
      </c>
    </row>
    <row r="38" spans="3:4">
      <c r="D38" t="str">
        <v>Arham</v>
      </c>
    </row>
    <row r="39" spans="3:4">
      <c r="D39" t="str">
        <v>Koyal</v>
      </c>
    </row>
    <row r="40" spans="3:4">
      <c r="D40" t="str">
        <v>Amit</v>
      </c>
    </row>
    <row r="41" spans="3:4">
      <c r="D41" t="str">
        <v>Shruti</v>
      </c>
    </row>
    <row r="42" spans="3:4">
      <c r="D42" t="str">
        <v>Pragya</v>
      </c>
    </row>
    <row r="43" spans="3:4">
      <c r="C43" t="s">
        <v>32</v>
      </c>
      <c r="D43">
        <f>LEN(D42)</f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aish aftab</cp:lastModifiedBy>
  <cp:revision/>
  <dcterms:created xsi:type="dcterms:W3CDTF">2026-09-21T16:09:55Z</dcterms:created>
  <dcterms:modified xsi:type="dcterms:W3CDTF">2026-09-22T03:51:39Z</dcterms:modified>
  <cp:category/>
  <cp:contentStatus/>
</cp:coreProperties>
</file>