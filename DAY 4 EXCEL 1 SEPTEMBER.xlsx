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88" documentId="11_0B1D56BE9CDCCE836B02CE7A5FB0D4A9BBFD1C62" xr6:coauthVersionLast="47" xr6:coauthVersionMax="47" xr10:uidLastSave="{4A64606B-0926-4F42-BF2E-C9637C1B22F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6" i="1" l="1"/>
  <c r="K5" i="1"/>
  <c r="Q5" i="1" a="1"/>
  <c r="Q5" i="1"/>
  <c r="P5" i="1"/>
  <c r="O5" i="1"/>
  <c r="N5" i="1"/>
  <c r="I5" i="1"/>
  <c r="J6" i="1"/>
  <c r="K6" i="1" s="1"/>
  <c r="H5" i="1"/>
  <c r="G5" i="1" a="1"/>
  <c r="G5" i="1"/>
  <c r="F5" i="1" a="1"/>
  <c r="F5" i="1"/>
  <c r="M5" i="1" s="1" a="1"/>
  <c r="M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<sst xmlns="http://schemas.openxmlformats.org/spreadsheetml/2006/main" count="46" uniqueCount="31">
  <si>
    <t xml:space="preserve">Name </t>
  </si>
  <si>
    <t>Technology</t>
  </si>
  <si>
    <t>Course</t>
  </si>
  <si>
    <t>Marks</t>
  </si>
  <si>
    <t>Aish</t>
  </si>
  <si>
    <t>DA</t>
  </si>
  <si>
    <t>MCA</t>
  </si>
  <si>
    <t>Ali</t>
  </si>
  <si>
    <t>C</t>
  </si>
  <si>
    <t>Semon</t>
  </si>
  <si>
    <t>JAVA</t>
  </si>
  <si>
    <t>lower()</t>
  </si>
  <si>
    <t>upper()</t>
  </si>
  <si>
    <t>concat()</t>
  </si>
  <si>
    <t>len()</t>
  </si>
  <si>
    <t>trim()</t>
  </si>
  <si>
    <t>find()</t>
  </si>
  <si>
    <t>proper()</t>
  </si>
  <si>
    <t>substitute()</t>
  </si>
  <si>
    <t>textbefore()</t>
  </si>
  <si>
    <t>textafter()</t>
  </si>
  <si>
    <t>textsplit()</t>
  </si>
  <si>
    <t>Shalini</t>
  </si>
  <si>
    <t>PYTHON</t>
  </si>
  <si>
    <t xml:space="preserve">      semon</t>
  </si>
  <si>
    <t>semon@gmail.com</t>
  </si>
  <si>
    <t>Pooja</t>
  </si>
  <si>
    <t>Madhu</t>
  </si>
  <si>
    <t>Vaani</t>
  </si>
  <si>
    <t>Bhavika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</si>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</sst>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m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R5" sqref="R5"/>
    </sheetView>
  </sheetViews>
  <sheetFormatPr defaultRowHeight="15"/>
  <cols>
    <col min="2" max="2" width="10.5703125" customWidth="1"/>
    <col min="8" max="8" width="14.85546875" customWidth="1"/>
    <col min="10" max="10" width="10.28515625" customWidth="1"/>
    <col min="12" max="12" width="18.140625" customWidth="1"/>
    <col min="13" max="13" width="13.42578125" customWidth="1"/>
    <col min="14" max="14" width="35.28515625" customWidth="1"/>
    <col min="15" max="15" width="11.1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</row>
    <row r="2" spans="1:18">
      <c r="A2" s="1" t="s">
        <v>4</v>
      </c>
      <c r="B2" s="1" t="s">
        <v>5</v>
      </c>
      <c r="C2" s="1" t="s">
        <v>6</v>
      </c>
      <c r="D2" s="1">
        <v>83</v>
      </c>
    </row>
    <row r="3" spans="1:18">
      <c r="A3" s="1" t="s">
        <v>7</v>
      </c>
      <c r="B3" s="1" t="s">
        <v>8</v>
      </c>
      <c r="C3" s="1" t="s">
        <v>6</v>
      </c>
      <c r="D3" s="1">
        <v>62</v>
      </c>
    </row>
    <row r="4" spans="1:18">
      <c r="A4" s="1" t="s">
        <v>9</v>
      </c>
      <c r="B4" s="1" t="s">
        <v>10</v>
      </c>
      <c r="C4" s="1" t="s">
        <v>6</v>
      </c>
      <c r="D4" s="1">
        <v>76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14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21</v>
      </c>
    </row>
    <row r="5" spans="1:18">
      <c r="A5" s="1" t="s">
        <v>22</v>
      </c>
      <c r="B5" s="1" t="s">
        <v>23</v>
      </c>
      <c r="C5" s="1" t="s">
        <v>6</v>
      </c>
      <c r="D5" s="1">
        <v>73</v>
      </c>
      <c r="F5" t="str" cm="1">
        <f t="array" ref="F5:F13">LOWER(A2:A10)</f>
        <v>aish</v>
      </c>
      <c r="G5" t="str" cm="1">
        <f t="array" ref="G5:G13">UPPER(A2:A10)</f>
        <v>AISH</v>
      </c>
      <c r="H5" t="str">
        <f>_xlfn.CONCAT(A5:B5)</f>
        <v>ShaliniPYTHON</v>
      </c>
      <c r="I5">
        <f>LEN(A2)</f>
        <v>4</v>
      </c>
      <c r="J5" t="s">
        <v>24</v>
      </c>
      <c r="K5">
        <f>LEN(J5)</f>
        <v>11</v>
      </c>
      <c r="L5" s="2" t="s">
        <v>25</v>
      </c>
      <c r="M5" t="str" cm="1">
        <f t="array" ref="M5:M14">PROPER(F5:F14)</f>
        <v>Aish</v>
      </c>
      <c r="N5" t="str">
        <f>SUBSTITUTE(A9,"Bhavika","Shaista")</f>
        <v>Shaista</v>
      </c>
      <c r="O5" t="str">
        <f>_xlfn.TEXTBEFORE(L5,"@")</f>
        <v>semon</v>
      </c>
      <c r="P5" t="str">
        <f>_xlfn.TEXTAFTER(L5,"@")</f>
        <v>gmail.com</v>
      </c>
      <c r="Q5" t="str" cm="1">
        <f t="array" ref="Q5:R5">_xlfn.TEXTSPLIT(L5,"@")</f>
        <v>semon</v>
      </c>
      <c r="R5" t="str">
        <v>gmail.com</v>
      </c>
    </row>
    <row r="6" spans="1:18">
      <c r="A6" s="1" t="s">
        <v>26</v>
      </c>
      <c r="B6" s="1" t="s">
        <v>5</v>
      </c>
      <c r="C6" s="1" t="s">
        <v>6</v>
      </c>
      <c r="D6" s="1">
        <v>47</v>
      </c>
      <c r="F6" t="str">
        <v>ali</v>
      </c>
      <c r="G6" t="str">
        <v>ALI</v>
      </c>
      <c r="J6" t="str">
        <f>TRIM(J5)</f>
        <v>semon</v>
      </c>
      <c r="K6">
        <f>LEN(J6)</f>
        <v>5</v>
      </c>
      <c r="L6">
        <f>FIND("@",L5)</f>
        <v>6</v>
      </c>
      <c r="M6" t="str">
        <v>Ali</v>
      </c>
    </row>
    <row r="7" spans="1:18">
      <c r="A7" s="1" t="s">
        <v>27</v>
      </c>
      <c r="B7" s="1" t="s">
        <v>10</v>
      </c>
      <c r="C7" s="1" t="s">
        <v>6</v>
      </c>
      <c r="D7" s="1">
        <v>77</v>
      </c>
      <c r="F7" t="str">
        <v>semon</v>
      </c>
      <c r="G7" t="str">
        <v>SEMON</v>
      </c>
      <c r="M7" t="str">
        <v>Semon</v>
      </c>
    </row>
    <row r="8" spans="1:18">
      <c r="A8" s="1" t="s">
        <v>28</v>
      </c>
      <c r="B8" s="1" t="s">
        <v>8</v>
      </c>
      <c r="C8" s="1" t="s">
        <v>6</v>
      </c>
      <c r="D8" s="1">
        <v>83</v>
      </c>
      <c r="F8" t="str">
        <v>shalini</v>
      </c>
      <c r="G8" t="str">
        <v>SHALINI</v>
      </c>
      <c r="M8" t="str">
        <v>Shalini</v>
      </c>
    </row>
    <row r="9" spans="1:18">
      <c r="A9" s="1" t="s">
        <v>29</v>
      </c>
      <c r="B9" s="1" t="s">
        <v>5</v>
      </c>
      <c r="C9" s="1" t="s">
        <v>6</v>
      </c>
      <c r="D9" s="1">
        <v>47</v>
      </c>
      <c r="F9" t="str">
        <v>pooja</v>
      </c>
      <c r="G9" t="str">
        <v>POOJA</v>
      </c>
      <c r="M9" t="str">
        <v>Pooja</v>
      </c>
    </row>
    <row r="10" spans="1:18">
      <c r="A10" s="1" t="s">
        <v>30</v>
      </c>
      <c r="B10" s="1" t="s">
        <v>23</v>
      </c>
      <c r="C10" s="1" t="s">
        <v>6</v>
      </c>
      <c r="D10" s="1">
        <v>38</v>
      </c>
      <c r="F10" t="str">
        <v>madhu</v>
      </c>
      <c r="G10" t="str">
        <v>MADHU</v>
      </c>
      <c r="M10" t="str">
        <v>Madhu</v>
      </c>
    </row>
    <row r="11" spans="1:18">
      <c r="F11" t="str">
        <v>vaani</v>
      </c>
      <c r="G11" t="str">
        <v>VAANI</v>
      </c>
      <c r="M11" t="str">
        <v>Vaani</v>
      </c>
    </row>
    <row r="12" spans="1:18">
      <c r="F12" t="str">
        <v>bhavika</v>
      </c>
      <c r="G12" t="str">
        <v>BHAVIKA</v>
      </c>
      <c r="M12" t="str">
        <v>Bhavika</v>
      </c>
    </row>
    <row r="13" spans="1:18">
      <c r="F13" t="str">
        <v>riya</v>
      </c>
      <c r="G13" t="str">
        <v>RIYA</v>
      </c>
      <c r="M13" t="str">
        <v>Riya</v>
      </c>
    </row>
    <row r="14" spans="1:18">
      <c r="M14" t="str">
        <v/>
      </c>
    </row>
  </sheetData>
  <hyperlinks>
    <hyperlink ref="L5" r:id="rId1" xr:uid="{39D3A0F1-AEC3-4E1C-9C09-ABA95D9971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2026-09-22T05:07:06Z</dcterms:created>
  <dcterms:modified xsi:type="dcterms:W3CDTF">2026-09-22T05:33:10Z</dcterms:modified>
  <cp:category/>
  <cp:contentStatus/>
</cp:coreProperties>
</file>